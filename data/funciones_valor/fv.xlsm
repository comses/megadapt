
<file path=[Content_Types].xml><?xml version="1.0" encoding="utf-8"?>
<Types xmlns="http://schemas.openxmlformats.org/package/2006/content-types">
  <Override PartName="/xl/embeddings/oleObject8.bin" ContentType="application/vnd.openxmlformats-officedocument.oleObject"/>
  <Override PartName="/xl/embeddings/oleObject14.bin" ContentType="application/vnd.openxmlformats-officedocument.oleObject"/>
  <Override PartName="/xl/embeddings/oleObject23.bin" ContentType="application/vnd.openxmlformats-officedocument.oleObject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embeddings/oleObject21.bin" ContentType="application/vnd.openxmlformats-officedocument.oleObject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embeddings/oleObject4.bin" ContentType="application/vnd.openxmlformats-officedocument.oleObject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embeddings/oleObject2.bin" ContentType="application/vnd.openxmlformats-officedocument.oleObject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ctrlProps/ctrlProp4.xml" ContentType="application/vnd.ms-excel.controlproperties+xml"/>
  <Override PartName="/xl/ctrlProps/ctrlProp3.xml" ContentType="application/vnd.ms-excel.controlproperties+xml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25.bin" ContentType="application/vnd.openxmlformats-officedocument.oleObject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embeddings/oleObject24.bin" ContentType="application/vnd.openxmlformats-officedocument.oleObject"/>
  <Override PartName="/xl/charts/chart7.xml" ContentType="application/vnd.openxmlformats-officedocument.drawingml.chart+xml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embeddings/oleObject22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embeddings/oleObject3.bin" ContentType="application/vnd.openxmlformats-officedocument.oleObject"/>
  <Override PartName="/xl/embeddings/oleObject11.bin" ContentType="application/vnd.openxmlformats-officedocument.oleObject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embeddings/oleObject20.bin" ContentType="application/vnd.openxmlformats-officedocument.oleObject"/>
  <Override PartName="/xl/workbook.xml" ContentType="application/vnd.ms-excel.sheet.macroEnabled.main+xml"/>
  <Override PartName="/xl/worksheets/sheet4.xml" ContentType="application/vnd.openxmlformats-officedocument.spreadsheetml.worksheet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8C4F1C90-05EB-6A55-5F09-09C24B55AC0B}"/>
  <workbookPr codeName="ThisWorkbook" autoCompressPictures="0" defaultThemeVersion="124226"/>
  <bookViews>
    <workbookView xWindow="-27075" yWindow="-120" windowWidth="24240" windowHeight="13740" tabRatio="659" activeTab="4"/>
  </bookViews>
  <sheets>
    <sheet name="Indice" sheetId="8" r:id="rId1"/>
    <sheet name="Creciente CV" sheetId="4" r:id="rId2"/>
    <sheet name="Creciente CX" sheetId="2" r:id="rId3"/>
    <sheet name="Campana" sheetId="3" r:id="rId4"/>
    <sheet name="Campana Inv" sheetId="7" r:id="rId5"/>
    <sheet name="Decreciente CX" sheetId="1" r:id="rId6"/>
    <sheet name="Decreciente CV" sheetId="6" r:id="rId7"/>
    <sheet name="Coseno" sheetId="9" r:id="rId8"/>
  </sheets>
  <definedNames>
    <definedName name="_xlnm.Print_Area" localSheetId="7">Coseno!$B$2:$I$54</definedName>
    <definedName name="_xlnm.Print_Area" localSheetId="1">'Creciente CV'!$C$1:$T$55</definedName>
    <definedName name="_xlnm.Print_Area" localSheetId="6">'Decreciente CV'!$B$2:$I$55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" i="9"/>
  <c r="AM6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C5"/>
  <c r="AJ14"/>
  <c r="AJ15"/>
  <c r="R5"/>
  <c r="J31"/>
  <c r="AK6" i="6"/>
  <c r="C5"/>
  <c r="G5"/>
  <c r="AI10"/>
  <c r="C6"/>
  <c r="G6"/>
  <c r="C7"/>
  <c r="G7"/>
  <c r="C8"/>
  <c r="G8"/>
  <c r="C9"/>
  <c r="G9"/>
  <c r="C10"/>
  <c r="G10"/>
  <c r="C11"/>
  <c r="G11"/>
  <c r="C12"/>
  <c r="G12"/>
  <c r="C13"/>
  <c r="G13"/>
  <c r="C14"/>
  <c r="G14"/>
  <c r="C15"/>
  <c r="G15"/>
  <c r="C16"/>
  <c r="G16"/>
  <c r="C17"/>
  <c r="G17"/>
  <c r="C18"/>
  <c r="G18"/>
  <c r="C19"/>
  <c r="G19"/>
  <c r="C20"/>
  <c r="G20"/>
  <c r="C21"/>
  <c r="G21"/>
  <c r="C22"/>
  <c r="G22"/>
  <c r="C23"/>
  <c r="G23"/>
  <c r="C24"/>
  <c r="G24"/>
  <c r="C25"/>
  <c r="G25"/>
  <c r="B38"/>
  <c r="J33" i="9"/>
  <c r="J34"/>
  <c r="B37"/>
  <c r="C5" i="7"/>
  <c r="G5"/>
  <c r="AJ7"/>
  <c r="C6"/>
  <c r="G6"/>
  <c r="C7"/>
  <c r="G7"/>
  <c r="C8"/>
  <c r="G8"/>
  <c r="C9"/>
  <c r="G9"/>
  <c r="C10"/>
  <c r="G10"/>
  <c r="C11"/>
  <c r="G11"/>
  <c r="C12"/>
  <c r="G12"/>
  <c r="C13"/>
  <c r="G13"/>
  <c r="C14"/>
  <c r="G14"/>
  <c r="C15"/>
  <c r="G15"/>
  <c r="C16"/>
  <c r="G16"/>
  <c r="C17"/>
  <c r="G17"/>
  <c r="C18"/>
  <c r="G18"/>
  <c r="C19"/>
  <c r="G19"/>
  <c r="C20"/>
  <c r="G20"/>
  <c r="C21"/>
  <c r="G21"/>
  <c r="C22"/>
  <c r="G22"/>
  <c r="C23"/>
  <c r="G23"/>
  <c r="C24"/>
  <c r="G24"/>
  <c r="C25"/>
  <c r="G25"/>
  <c r="B38"/>
  <c r="AI7" i="2"/>
  <c r="C5"/>
  <c r="G5"/>
  <c r="AG13"/>
  <c r="C6"/>
  <c r="G6"/>
  <c r="C7"/>
  <c r="G7"/>
  <c r="C8"/>
  <c r="G8"/>
  <c r="C9"/>
  <c r="G9"/>
  <c r="C10"/>
  <c r="G10"/>
  <c r="C11"/>
  <c r="G11"/>
  <c r="C12"/>
  <c r="G12"/>
  <c r="C13"/>
  <c r="G13"/>
  <c r="C14"/>
  <c r="G14"/>
  <c r="C15"/>
  <c r="G15"/>
  <c r="C16"/>
  <c r="G16"/>
  <c r="C17"/>
  <c r="G17"/>
  <c r="C18"/>
  <c r="G18"/>
  <c r="C19"/>
  <c r="G19"/>
  <c r="C20"/>
  <c r="G20"/>
  <c r="C21"/>
  <c r="G21"/>
  <c r="C22"/>
  <c r="G22"/>
  <c r="C23"/>
  <c r="G23"/>
  <c r="C24"/>
  <c r="G24"/>
  <c r="C25"/>
  <c r="G25"/>
  <c r="C38"/>
  <c r="AF6" i="4"/>
  <c r="C5"/>
  <c r="G5"/>
  <c r="AF13"/>
  <c r="C6"/>
  <c r="G6"/>
  <c r="C7"/>
  <c r="G7"/>
  <c r="C8"/>
  <c r="G8"/>
  <c r="C9"/>
  <c r="G9"/>
  <c r="C10"/>
  <c r="G10"/>
  <c r="C11"/>
  <c r="G11"/>
  <c r="C12"/>
  <c r="G12"/>
  <c r="C13"/>
  <c r="G13"/>
  <c r="C14"/>
  <c r="G14"/>
  <c r="C15"/>
  <c r="G15"/>
  <c r="C16"/>
  <c r="G16"/>
  <c r="C17"/>
  <c r="G17"/>
  <c r="C18"/>
  <c r="G18"/>
  <c r="C19"/>
  <c r="G19"/>
  <c r="C20"/>
  <c r="G20"/>
  <c r="C21"/>
  <c r="G21"/>
  <c r="C22"/>
  <c r="G22"/>
  <c r="C23"/>
  <c r="G23"/>
  <c r="C24"/>
  <c r="G24"/>
  <c r="C25"/>
  <c r="G25"/>
  <c r="B38"/>
  <c r="AJ6" i="1"/>
  <c r="C5"/>
  <c r="G5"/>
  <c r="AL10"/>
  <c r="C6"/>
  <c r="G6"/>
  <c r="C7"/>
  <c r="G7"/>
  <c r="C8"/>
  <c r="G8"/>
  <c r="C9"/>
  <c r="G9"/>
  <c r="C10"/>
  <c r="G10"/>
  <c r="C11"/>
  <c r="G11"/>
  <c r="C12"/>
  <c r="G12"/>
  <c r="C13"/>
  <c r="G13"/>
  <c r="C14"/>
  <c r="G14"/>
  <c r="C15"/>
  <c r="G15"/>
  <c r="C16"/>
  <c r="G16"/>
  <c r="C17"/>
  <c r="G17"/>
  <c r="C18"/>
  <c r="G18"/>
  <c r="C19"/>
  <c r="G19"/>
  <c r="C20"/>
  <c r="G20"/>
  <c r="C21"/>
  <c r="G21"/>
  <c r="C22"/>
  <c r="G22"/>
  <c r="C23"/>
  <c r="G23"/>
  <c r="C24"/>
  <c r="G24"/>
  <c r="C25"/>
  <c r="G25"/>
  <c r="B38"/>
  <c r="M5" i="4"/>
  <c r="J32" i="6"/>
  <c r="K34" i="7"/>
  <c r="K33"/>
  <c r="K33" i="3"/>
  <c r="K32"/>
  <c r="J32" i="4"/>
  <c r="AI6" i="3"/>
  <c r="C25"/>
  <c r="G25"/>
  <c r="C5"/>
  <c r="K32" i="1"/>
  <c r="J32" i="2"/>
  <c r="C6" i="3"/>
  <c r="G6"/>
  <c r="G5"/>
  <c r="C7"/>
  <c r="G7"/>
  <c r="C8"/>
  <c r="G8"/>
  <c r="C9"/>
  <c r="G9"/>
  <c r="C10"/>
  <c r="C11"/>
  <c r="G10"/>
  <c r="G11"/>
  <c r="C12"/>
  <c r="G12"/>
  <c r="C13"/>
  <c r="C14"/>
  <c r="G13"/>
  <c r="C15"/>
  <c r="G14"/>
  <c r="C16"/>
  <c r="G15"/>
  <c r="C17"/>
  <c r="G16"/>
  <c r="C16" i="9"/>
  <c r="AJ12"/>
  <c r="AJ13"/>
  <c r="C18"/>
  <c r="C22"/>
  <c r="C24"/>
  <c r="C25"/>
  <c r="C6"/>
  <c r="C7"/>
  <c r="C8"/>
  <c r="C9"/>
  <c r="C10"/>
  <c r="C12"/>
  <c r="C13"/>
  <c r="C11"/>
  <c r="C14"/>
  <c r="C15"/>
  <c r="C20"/>
  <c r="C21"/>
  <c r="C19"/>
  <c r="C17"/>
  <c r="C23"/>
  <c r="C18" i="3"/>
  <c r="G17"/>
  <c r="K16" i="9"/>
  <c r="R22"/>
  <c r="R16"/>
  <c r="Y16"/>
  <c r="K22"/>
  <c r="K18"/>
  <c r="R18"/>
  <c r="R21"/>
  <c r="Y21"/>
  <c r="K21"/>
  <c r="R23"/>
  <c r="Y23"/>
  <c r="K23"/>
  <c r="R19"/>
  <c r="Y19"/>
  <c r="K19"/>
  <c r="K20"/>
  <c r="R20"/>
  <c r="K14"/>
  <c r="R14"/>
  <c r="R13"/>
  <c r="K13"/>
  <c r="K10"/>
  <c r="R10"/>
  <c r="K8"/>
  <c r="R8"/>
  <c r="R7"/>
  <c r="K7"/>
  <c r="Y7"/>
  <c r="R25"/>
  <c r="Y25"/>
  <c r="K25"/>
  <c r="R17"/>
  <c r="K17"/>
  <c r="R15"/>
  <c r="K15"/>
  <c r="R11"/>
  <c r="K11"/>
  <c r="Y11"/>
  <c r="K12"/>
  <c r="R12"/>
  <c r="R9"/>
  <c r="K9"/>
  <c r="Y9"/>
  <c r="K5"/>
  <c r="K6"/>
  <c r="Y6"/>
  <c r="R6"/>
  <c r="K24"/>
  <c r="R24"/>
  <c r="G18" i="3"/>
  <c r="C19"/>
  <c r="Y15" i="9"/>
  <c r="Y17"/>
  <c r="Y24"/>
  <c r="Y12"/>
  <c r="Y14"/>
  <c r="Y20"/>
  <c r="Y18"/>
  <c r="Y22"/>
  <c r="Y13"/>
  <c r="Y5"/>
  <c r="Y8"/>
  <c r="Y10"/>
  <c r="J35" i="6"/>
  <c r="J34"/>
  <c r="M16"/>
  <c r="M23"/>
  <c r="M21"/>
  <c r="M19"/>
  <c r="M18"/>
  <c r="M20"/>
  <c r="M24"/>
  <c r="M25"/>
  <c r="M5"/>
  <c r="M6"/>
  <c r="M7"/>
  <c r="M8"/>
  <c r="M11"/>
  <c r="M9"/>
  <c r="M10"/>
  <c r="M15"/>
  <c r="M12"/>
  <c r="M13"/>
  <c r="M17"/>
  <c r="M14"/>
  <c r="M22"/>
  <c r="C20" i="3"/>
  <c r="G19"/>
  <c r="C21"/>
  <c r="G20"/>
  <c r="C22"/>
  <c r="G21"/>
  <c r="J34" i="4"/>
  <c r="J35"/>
  <c r="M18"/>
  <c r="M20"/>
  <c r="G22" i="3"/>
  <c r="C23"/>
  <c r="M24" i="4"/>
  <c r="M25"/>
  <c r="M7"/>
  <c r="M8"/>
  <c r="M6"/>
  <c r="M11"/>
  <c r="M10"/>
  <c r="M9"/>
  <c r="M13"/>
  <c r="M17"/>
  <c r="M14"/>
  <c r="M12"/>
  <c r="M15"/>
  <c r="M23"/>
  <c r="M21"/>
  <c r="M19"/>
  <c r="M16"/>
  <c r="M22"/>
  <c r="C24" i="3"/>
  <c r="G24"/>
  <c r="G23"/>
  <c r="C38"/>
  <c r="K35" i="7"/>
  <c r="K36"/>
  <c r="K34" i="3"/>
  <c r="K35"/>
  <c r="M24" i="7"/>
  <c r="M25"/>
  <c r="M7"/>
  <c r="M6"/>
  <c r="M8"/>
  <c r="M9"/>
  <c r="M10"/>
  <c r="M11"/>
  <c r="M13"/>
  <c r="M12"/>
  <c r="M14"/>
  <c r="M15"/>
  <c r="M16"/>
  <c r="M17"/>
  <c r="M19"/>
  <c r="M22"/>
  <c r="M23"/>
  <c r="M21"/>
  <c r="M18"/>
  <c r="M20"/>
  <c r="M23" i="3"/>
  <c r="M24"/>
  <c r="M25"/>
  <c r="M5"/>
  <c r="M6"/>
  <c r="M9"/>
  <c r="M7"/>
  <c r="M8"/>
  <c r="M11"/>
  <c r="M10"/>
  <c r="M13"/>
  <c r="M14"/>
  <c r="M12"/>
  <c r="M16"/>
  <c r="M19"/>
  <c r="M15"/>
  <c r="M18"/>
  <c r="M5" i="7"/>
  <c r="M21" i="3"/>
  <c r="M17"/>
  <c r="M20"/>
  <c r="M22"/>
  <c r="K35" i="1"/>
  <c r="K34"/>
  <c r="J35" i="2"/>
  <c r="J34"/>
  <c r="M18" i="1"/>
  <c r="M20"/>
  <c r="M22"/>
  <c r="M23"/>
  <c r="M23" i="2"/>
  <c r="M24" i="1"/>
  <c r="M25"/>
  <c r="M5"/>
  <c r="M6"/>
  <c r="M7"/>
  <c r="M8"/>
  <c r="M9"/>
  <c r="M10"/>
  <c r="M12"/>
  <c r="M11"/>
  <c r="M15"/>
  <c r="M14"/>
  <c r="M13"/>
  <c r="M17"/>
  <c r="M21"/>
  <c r="M21" i="2"/>
  <c r="M18"/>
  <c r="M24"/>
  <c r="M5"/>
  <c r="M25"/>
  <c r="M6"/>
  <c r="M8"/>
  <c r="M7"/>
  <c r="M9"/>
  <c r="M10"/>
  <c r="M12"/>
  <c r="M11"/>
  <c r="M13"/>
  <c r="M16"/>
  <c r="M14"/>
  <c r="M15"/>
  <c r="M17"/>
  <c r="M19"/>
  <c r="M20"/>
  <c r="M22"/>
  <c r="M16" i="1"/>
  <c r="M19"/>
</calcChain>
</file>

<file path=xl/sharedStrings.xml><?xml version="1.0" encoding="utf-8"?>
<sst xmlns="http://schemas.openxmlformats.org/spreadsheetml/2006/main" count="169" uniqueCount="31">
  <si>
    <t>Paso</t>
  </si>
  <si>
    <t>Saturacion</t>
  </si>
  <si>
    <t>Parámetro de control</t>
  </si>
  <si>
    <t>Amplitud</t>
  </si>
  <si>
    <t>PROYECTO:</t>
  </si>
  <si>
    <t>FECHA DEL TALLER:</t>
  </si>
  <si>
    <t>LUGAR:</t>
  </si>
  <si>
    <t>ASISTENTES:</t>
  </si>
  <si>
    <t>REFERENCIAS:</t>
  </si>
  <si>
    <t>Unidades</t>
  </si>
  <si>
    <t>SECTOR:</t>
  </si>
  <si>
    <t>DESCRIPCIÓN DE LA FUNCIÓN DE VALOR:</t>
  </si>
  <si>
    <t>COORDINADOR DEL GRUPO DE TRABAJO:</t>
  </si>
  <si>
    <t>Escala mínima</t>
  </si>
  <si>
    <t>Escala máxima</t>
  </si>
  <si>
    <t>Valor mínimo de Y en X</t>
  </si>
  <si>
    <t>Esta opción no debe modificarse, a menos que sepa lo que hace.</t>
  </si>
  <si>
    <t>Valor máximo de Y en X</t>
  </si>
  <si>
    <t>Escala Máxima</t>
  </si>
  <si>
    <t>=</t>
  </si>
  <si>
    <t>mapa del atributo</t>
  </si>
  <si>
    <t>Kilómetros</t>
  </si>
  <si>
    <t>Ecuación para GRASS</t>
  </si>
  <si>
    <t>Ecuación de la función de valor</t>
  </si>
  <si>
    <t>Saturación</t>
  </si>
  <si>
    <t>Este parametro no debe modificarse, amenos que sepa lo que hace</t>
  </si>
  <si>
    <t>a</t>
  </si>
  <si>
    <t>b</t>
  </si>
  <si>
    <t>c</t>
  </si>
  <si>
    <t>d</t>
  </si>
  <si>
    <t>metros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</si>
</sst>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0.000000E+00"/>
    <numFmt numFmtId="166" formatCode="0.000000000"/>
    <numFmt numFmtId="167" formatCode="0.0000000000"/>
  </numFmts>
  <fonts count="14">
    <font>
      <sz val="10"/>
      <name val="Arial"/>
    </font>
    <font>
      <sz val="8"/>
      <name val="Arial"/>
    </font>
    <font>
      <sz val="10"/>
      <color rgb="FF000000"/>
      <name val="Arial"/>
      <family val="2"/>
    </font>
    <font>
      <sz val="9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7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3"/>
      </right>
      <top/>
      <bottom/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7">
    <xf numFmtId="0" fontId="0" fillId="0" borderId="0" xfId="0"/>
    <xf numFmtId="165" fontId="0" fillId="0" borderId="0" xfId="0" applyNumberFormat="1"/>
    <xf numFmtId="0" fontId="0" fillId="0" borderId="0" xfId="0" applyNumberFormat="1"/>
    <xf numFmtId="0" fontId="3" fillId="0" borderId="0" xfId="0" applyFont="1"/>
    <xf numFmtId="165" fontId="3" fillId="0" borderId="0" xfId="0" applyNumberFormat="1" applyFont="1"/>
    <xf numFmtId="0" fontId="5" fillId="0" borderId="0" xfId="0" applyFont="1"/>
    <xf numFmtId="0" fontId="5" fillId="0" borderId="0" xfId="0" applyNumberFormat="1" applyFont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0" xfId="0" applyFont="1"/>
    <xf numFmtId="0" fontId="5" fillId="0" borderId="0" xfId="0" quotePrefix="1" applyFont="1" applyAlignment="1"/>
    <xf numFmtId="0" fontId="5" fillId="0" borderId="0" xfId="0" applyFont="1" applyAlignment="1"/>
    <xf numFmtId="0" fontId="5" fillId="0" borderId="0" xfId="0" applyFont="1" applyAlignment="1">
      <alignment wrapText="1"/>
    </xf>
    <xf numFmtId="0" fontId="6" fillId="0" borderId="0" xfId="0" applyFont="1" applyAlignment="1"/>
    <xf numFmtId="0" fontId="5" fillId="0" borderId="0" xfId="0" quotePrefix="1" applyFont="1" applyAlignment="1">
      <alignment horizontal="center"/>
    </xf>
    <xf numFmtId="0" fontId="6" fillId="0" borderId="0" xfId="0" applyFont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6" fillId="0" borderId="0" xfId="0" quotePrefix="1" applyFont="1" applyAlignment="1">
      <alignment horizontal="right"/>
    </xf>
    <xf numFmtId="0" fontId="6" fillId="0" borderId="0" xfId="0" quotePrefix="1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Border="1" applyAlignment="1"/>
    <xf numFmtId="0" fontId="5" fillId="0" borderId="0" xfId="0" applyFont="1" applyBorder="1" applyAlignment="1"/>
    <xf numFmtId="0" fontId="5" fillId="0" borderId="0" xfId="0" applyFont="1" applyBorder="1"/>
    <xf numFmtId="0" fontId="6" fillId="0" borderId="0" xfId="0" quotePrefix="1" applyFont="1" applyAlignment="1">
      <alignment horizontal="center"/>
    </xf>
    <xf numFmtId="0" fontId="6" fillId="0" borderId="0" xfId="0" quotePrefix="1" applyFont="1" applyAlignment="1">
      <alignment horizontal="center" vertical="center"/>
    </xf>
    <xf numFmtId="0" fontId="6" fillId="0" borderId="0" xfId="0" applyFont="1" applyAlignment="1">
      <alignment vertical="center"/>
    </xf>
    <xf numFmtId="166" fontId="6" fillId="0" borderId="0" xfId="0" applyNumberFormat="1" applyFont="1" applyAlignment="1">
      <alignment vertical="center"/>
    </xf>
    <xf numFmtId="2" fontId="6" fillId="0" borderId="0" xfId="0" applyNumberFormat="1" applyFont="1" applyAlignment="1"/>
    <xf numFmtId="0" fontId="4" fillId="0" borderId="0" xfId="0" applyFont="1" applyBorder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quotePrefix="1" applyFont="1" applyAlignment="1"/>
    <xf numFmtId="0" fontId="6" fillId="0" borderId="0" xfId="0" quotePrefix="1" applyFont="1" applyAlignment="1">
      <alignment vertical="center"/>
    </xf>
    <xf numFmtId="0" fontId="5" fillId="0" borderId="0" xfId="0" applyFont="1" applyAlignment="1">
      <alignment horizontal="center" vertical="center"/>
    </xf>
    <xf numFmtId="2" fontId="6" fillId="0" borderId="12" xfId="0" applyNumberFormat="1" applyFont="1" applyBorder="1" applyAlignment="1"/>
    <xf numFmtId="0" fontId="6" fillId="0" borderId="0" xfId="0" applyFont="1" applyBorder="1" applyAlignment="1"/>
    <xf numFmtId="0" fontId="4" fillId="0" borderId="0" xfId="0" applyFont="1" applyAlignment="1"/>
    <xf numFmtId="0" fontId="5" fillId="0" borderId="0" xfId="0" applyNumberFormat="1" applyFont="1"/>
    <xf numFmtId="164" fontId="5" fillId="0" borderId="0" xfId="0" applyNumberFormat="1" applyFont="1"/>
    <xf numFmtId="0" fontId="10" fillId="0" borderId="0" xfId="0" applyFont="1" applyBorder="1" applyAlignment="1"/>
    <xf numFmtId="0" fontId="6" fillId="0" borderId="0" xfId="0" applyFont="1" applyBorder="1" applyAlignment="1">
      <alignment vertical="center"/>
    </xf>
    <xf numFmtId="165" fontId="5" fillId="0" borderId="0" xfId="0" applyNumberFormat="1" applyFont="1"/>
    <xf numFmtId="167" fontId="5" fillId="0" borderId="0" xfId="0" applyNumberFormat="1" applyFont="1" applyAlignment="1"/>
    <xf numFmtId="0" fontId="4" fillId="0" borderId="0" xfId="0" applyFont="1" applyBorder="1" applyAlignment="1">
      <alignment vertical="center" wrapText="1"/>
    </xf>
    <xf numFmtId="0" fontId="5" fillId="0" borderId="0" xfId="0" applyFont="1" applyBorder="1" applyAlignment="1">
      <alignment vertical="center"/>
    </xf>
    <xf numFmtId="0" fontId="5" fillId="0" borderId="0" xfId="0" quotePrefix="1" applyFont="1" applyAlignment="1">
      <alignment vertical="center"/>
    </xf>
    <xf numFmtId="0" fontId="5" fillId="0" borderId="0" xfId="0" quotePrefix="1" applyFont="1" applyAlignment="1">
      <alignment horizontal="center" vertical="center"/>
    </xf>
    <xf numFmtId="0" fontId="10" fillId="0" borderId="0" xfId="0" applyFont="1" applyBorder="1" applyAlignment="1">
      <alignment wrapText="1"/>
    </xf>
    <xf numFmtId="0" fontId="5" fillId="0" borderId="0" xfId="0" quotePrefix="1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Border="1" applyAlignment="1">
      <alignment wrapText="1"/>
    </xf>
    <xf numFmtId="0" fontId="11" fillId="0" borderId="0" xfId="0" quotePrefix="1" applyFont="1" applyAlignment="1"/>
    <xf numFmtId="0" fontId="11" fillId="0" borderId="0" xfId="0" applyFont="1" applyAlignment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 wrapText="1"/>
    </xf>
    <xf numFmtId="0" fontId="5" fillId="0" borderId="0" xfId="0" applyFont="1" applyAlignment="1">
      <alignment horizontal="left" vertical="center"/>
    </xf>
    <xf numFmtId="166" fontId="5" fillId="0" borderId="0" xfId="0" applyNumberFormat="1" applyFont="1" applyAlignment="1">
      <alignment horizontal="left" vertical="center"/>
    </xf>
    <xf numFmtId="0" fontId="9" fillId="2" borderId="8" xfId="0" applyFont="1" applyFill="1" applyBorder="1" applyAlignment="1">
      <alignment horizontal="left" vertical="center" wrapText="1"/>
    </xf>
    <xf numFmtId="0" fontId="9" fillId="2" borderId="9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3" xfId="0" applyFont="1" applyFill="1" applyBorder="1" applyAlignment="1">
      <alignment horizontal="left" vertical="center" wrapText="1"/>
    </xf>
    <xf numFmtId="0" fontId="9" fillId="2" borderId="14" xfId="0" applyFont="1" applyFill="1" applyBorder="1" applyAlignment="1">
      <alignment horizontal="left" vertical="center" wrapText="1"/>
    </xf>
    <xf numFmtId="0" fontId="9" fillId="2" borderId="15" xfId="0" applyFont="1" applyFill="1" applyBorder="1" applyAlignment="1">
      <alignment horizontal="left" vertical="center" wrapText="1"/>
    </xf>
    <xf numFmtId="0" fontId="9" fillId="2" borderId="5" xfId="0" applyFont="1" applyFill="1" applyBorder="1" applyAlignment="1">
      <alignment horizontal="left" vertical="center" wrapText="1"/>
    </xf>
    <xf numFmtId="0" fontId="9" fillId="2" borderId="0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left" vertical="center" wrapText="1"/>
    </xf>
    <xf numFmtId="0" fontId="9" fillId="2" borderId="6" xfId="0" applyFont="1" applyFill="1" applyBorder="1" applyAlignment="1">
      <alignment horizontal="left" vertical="center" wrapText="1"/>
    </xf>
    <xf numFmtId="0" fontId="9" fillId="2" borderId="3" xfId="0" applyFont="1" applyFill="1" applyBorder="1" applyAlignment="1">
      <alignment horizontal="left" vertical="center" wrapText="1"/>
    </xf>
    <xf numFmtId="0" fontId="9" fillId="2" borderId="4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wrapText="1"/>
    </xf>
    <xf numFmtId="0" fontId="6" fillId="0" borderId="0" xfId="0" applyFont="1" applyAlignment="1">
      <alignment horizontal="left"/>
    </xf>
    <xf numFmtId="166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7" fontId="5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9" fillId="2" borderId="1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5" fillId="0" borderId="0" xfId="0" applyNumberFormat="1" applyFont="1" applyAlignment="1">
      <alignment horizontal="right"/>
    </xf>
    <xf numFmtId="0" fontId="6" fillId="0" borderId="1" xfId="0" applyFont="1" applyBorder="1" applyAlignment="1">
      <alignment horizontal="center" wrapText="1"/>
    </xf>
    <xf numFmtId="0" fontId="10" fillId="0" borderId="11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2" fillId="0" borderId="11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wrapText="1"/>
    </xf>
    <xf numFmtId="0" fontId="5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autoTitleDeleted val="1"/>
    <c:plotArea>
      <c:layout/>
      <c:scatterChart>
        <c:scatterStyle val="smoothMarker"/>
        <c:ser>
          <c:idx val="1"/>
          <c:order val="0"/>
          <c:spPr>
            <a:ln w="381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'Creciente CV'!$C$5:$C$25</c:f>
              <c:numCache>
                <c:formatCode>General</c:formatCode>
                <c:ptCount val="21"/>
                <c:pt idx="0">
                  <c:v>5</c:v>
                </c:pt>
                <c:pt idx="1">
                  <c:v>9.75</c:v>
                </c:pt>
                <c:pt idx="2">
                  <c:v>14.5</c:v>
                </c:pt>
                <c:pt idx="3">
                  <c:v>19.25</c:v>
                </c:pt>
                <c:pt idx="4">
                  <c:v>24</c:v>
                </c:pt>
                <c:pt idx="5">
                  <c:v>28.75</c:v>
                </c:pt>
                <c:pt idx="6">
                  <c:v>33.5</c:v>
                </c:pt>
                <c:pt idx="7">
                  <c:v>38.25</c:v>
                </c:pt>
                <c:pt idx="8">
                  <c:v>43</c:v>
                </c:pt>
                <c:pt idx="9">
                  <c:v>47.75</c:v>
                </c:pt>
                <c:pt idx="10">
                  <c:v>52.5</c:v>
                </c:pt>
                <c:pt idx="11">
                  <c:v>57.25</c:v>
                </c:pt>
                <c:pt idx="12">
                  <c:v>62</c:v>
                </c:pt>
                <c:pt idx="13">
                  <c:v>66.75</c:v>
                </c:pt>
                <c:pt idx="14">
                  <c:v>71.5</c:v>
                </c:pt>
                <c:pt idx="15">
                  <c:v>76.25</c:v>
                </c:pt>
                <c:pt idx="16">
                  <c:v>81</c:v>
                </c:pt>
                <c:pt idx="17">
                  <c:v>85.75</c:v>
                </c:pt>
                <c:pt idx="18">
                  <c:v>90.5</c:v>
                </c:pt>
                <c:pt idx="19">
                  <c:v>95.25</c:v>
                </c:pt>
                <c:pt idx="20">
                  <c:v>100</c:v>
                </c:pt>
              </c:numCache>
            </c:numRef>
          </c:xVal>
          <c:yVal>
            <c:numRef>
              <c:f>'Creciente CV'!$M$5:$M$25</c:f>
              <c:numCache>
                <c:formatCode>General</c:formatCode>
                <c:ptCount val="21"/>
                <c:pt idx="0">
                  <c:v>0</c:v>
                </c:pt>
                <c:pt idx="1">
                  <c:v>1.0668417587539232E-3</c:v>
                </c:pt>
                <c:pt idx="2">
                  <c:v>2.4887639604672554E-3</c:v>
                </c:pt>
                <c:pt idx="3">
                  <c:v>4.3839491940175761E-3</c:v>
                </c:pt>
                <c:pt idx="4">
                  <c:v>6.9099151471051397E-3</c:v>
                </c:pt>
                <c:pt idx="5">
                  <c:v>1.0276606636255639E-2</c:v>
                </c:pt>
                <c:pt idx="6">
                  <c:v>1.4763845100124783E-2</c:v>
                </c:pt>
                <c:pt idx="7">
                  <c:v>2.0744585864912648E-2</c:v>
                </c:pt>
                <c:pt idx="8">
                  <c:v>2.8715916201734776E-2</c:v>
                </c:pt>
                <c:pt idx="9">
                  <c:v>3.9340370569135329E-2</c:v>
                </c:pt>
                <c:pt idx="10">
                  <c:v>5.3500996943324372E-2</c:v>
                </c:pt>
                <c:pt idx="11">
                  <c:v>7.2374751055785128E-2</c:v>
                </c:pt>
                <c:pt idx="12">
                  <c:v>9.7530318675796562E-2</c:v>
                </c:pt>
                <c:pt idx="13">
                  <c:v>0.13105849640421049</c:v>
                </c:pt>
                <c:pt idx="14">
                  <c:v>0.17574596753461166</c:v>
                </c:pt>
                <c:pt idx="15">
                  <c:v>0.23530691630451961</c:v>
                </c:pt>
                <c:pt idx="16">
                  <c:v>0.31469173107776383</c:v>
                </c:pt>
                <c:pt idx="17">
                  <c:v>0.42049845421992882</c:v>
                </c:pt>
                <c:pt idx="18">
                  <c:v>0.56152117618584185</c:v>
                </c:pt>
                <c:pt idx="19">
                  <c:v>0.7494809534105259</c:v>
                </c:pt>
                <c:pt idx="20">
                  <c:v>1</c:v>
                </c:pt>
              </c:numCache>
            </c:numRef>
          </c:yVal>
          <c:smooth val="1"/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'Creciente CV'!$D$5:$D$25</c:f>
              <c:numCache>
                <c:formatCode>General</c:formatCode>
                <c:ptCount val="21"/>
              </c:numCache>
            </c:numRef>
          </c:xVal>
          <c:yVal>
            <c:numRef>
              <c:f>'Creciente CV'!#REF!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/>
        <c:axId val="77697024"/>
        <c:axId val="77698944"/>
      </c:scatterChart>
      <c:valAx>
        <c:axId val="77697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Título del eje (unidades)</a:t>
                </a:r>
              </a:p>
            </c:rich>
          </c:tx>
          <c:layout>
            <c:manualLayout>
              <c:xMode val="edge"/>
              <c:yMode val="edge"/>
              <c:x val="0.45279125887894583"/>
              <c:y val="0.9156597365099074"/>
            </c:manualLayout>
          </c:layout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7698944"/>
        <c:crosses val="autoZero"/>
        <c:crossBetween val="midCat"/>
      </c:valAx>
      <c:valAx>
        <c:axId val="77698944"/>
        <c:scaling>
          <c:orientation val="minMax"/>
          <c:max val="1"/>
          <c:min val="0"/>
        </c:scaling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Valor</a:t>
                </a:r>
              </a:p>
            </c:rich>
          </c:tx>
          <c:layout>
            <c:manualLayout>
              <c:xMode val="edge"/>
              <c:yMode val="edge"/>
              <c:x val="1.5005361589548842E-2"/>
              <c:y val="0.34835538383211406"/>
            </c:manualLayout>
          </c:layout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7697024"/>
        <c:crossesAt val="0"/>
        <c:crossBetween val="midCat"/>
        <c:majorUnit val="0.2"/>
        <c:minorUnit val="0.05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noFill/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ronos Pro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autoTitleDeleted val="1"/>
    <c:plotArea>
      <c:layout/>
      <c:scatterChart>
        <c:scatterStyle val="smoothMarker"/>
        <c:ser>
          <c:idx val="1"/>
          <c:order val="0"/>
          <c:spPr>
            <a:ln w="381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'Creciente CX'!$C$5:$C$25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'Creciente CX'!$M$5:$M$25</c:f>
              <c:numCache>
                <c:formatCode>General</c:formatCode>
                <c:ptCount val="21"/>
                <c:pt idx="0">
                  <c:v>0</c:v>
                </c:pt>
                <c:pt idx="1">
                  <c:v>9.7195107209970308E-2</c:v>
                </c:pt>
                <c:pt idx="2">
                  <c:v>0.18680218853392813</c:v>
                </c:pt>
                <c:pt idx="3">
                  <c:v>0.26941364145462349</c:v>
                </c:pt>
                <c:pt idx="4">
                  <c:v>0.34557561495976413</c:v>
                </c:pt>
                <c:pt idx="5">
                  <c:v>0.4157916201638634</c:v>
                </c:pt>
                <c:pt idx="6">
                  <c:v>0.48052585904869655</c:v>
                </c:pt>
                <c:pt idx="7">
                  <c:v>0.5402062933288565</c:v>
                </c:pt>
                <c:pt idx="8">
                  <c:v>0.59522747373085583</c:v>
                </c:pt>
                <c:pt idx="9">
                  <c:v>0.64595314839029339</c:v>
                </c:pt>
                <c:pt idx="10">
                  <c:v>0.69271866761135326</c:v>
                </c:pt>
                <c:pt idx="11">
                  <c:v>0.73583320088663295</c:v>
                </c:pt>
                <c:pt idx="12">
                  <c:v>0.77558178083414442</c:v>
                </c:pt>
                <c:pt idx="13">
                  <c:v>0.81222718756407442</c:v>
                </c:pt>
                <c:pt idx="14">
                  <c:v>0.84601168593295439</c:v>
                </c:pt>
                <c:pt idx="15">
                  <c:v>0.87715862717032977</c:v>
                </c:pt>
                <c:pt idx="16">
                  <c:v>0.90587392546637124</c:v>
                </c:pt>
                <c:pt idx="17">
                  <c:v>0.93234741928223219</c:v>
                </c:pt>
                <c:pt idx="18">
                  <c:v>0.95675412638285273</c:v>
                </c:pt>
                <c:pt idx="19">
                  <c:v>0.97925540088930219</c:v>
                </c:pt>
                <c:pt idx="20">
                  <c:v>1</c:v>
                </c:pt>
              </c:numCache>
            </c:numRef>
          </c:yVal>
          <c:smooth val="1"/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'Creciente CX'!$C$5:$C$25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'Creciente CX'!#REF!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/>
        <c:axId val="45599744"/>
        <c:axId val="45606016"/>
      </c:scatterChart>
      <c:valAx>
        <c:axId val="45599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Título del eje  (unidades)</a:t>
                </a:r>
              </a:p>
            </c:rich>
          </c:tx>
          <c:layout>
            <c:manualLayout>
              <c:xMode val="edge"/>
              <c:yMode val="edge"/>
              <c:x val="0.45286704330498018"/>
              <c:y val="0.91180430446194238"/>
            </c:manualLayout>
          </c:layout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5606016"/>
        <c:crosses val="autoZero"/>
        <c:crossBetween val="midCat"/>
      </c:valAx>
      <c:valAx>
        <c:axId val="45606016"/>
        <c:scaling>
          <c:orientation val="minMax"/>
          <c:max val="1"/>
          <c:min val="0"/>
        </c:scaling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Valor</a:t>
                </a:r>
              </a:p>
            </c:rich>
          </c:tx>
          <c:layout>
            <c:manualLayout>
              <c:xMode val="edge"/>
              <c:yMode val="edge"/>
              <c:x val="1.4981273408239701E-2"/>
              <c:y val="0.36914057742782164"/>
            </c:manualLayout>
          </c:layout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5599744"/>
        <c:crossesAt val="0"/>
        <c:crossBetween val="midCat"/>
        <c:majorUnit val="0.2"/>
        <c:minorUnit val="0.05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noFill/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ronos Pro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autoTitleDeleted val="1"/>
    <c:plotArea>
      <c:layout/>
      <c:scatterChart>
        <c:scatterStyle val="smoothMarker"/>
        <c:ser>
          <c:idx val="1"/>
          <c:order val="0"/>
          <c:spPr>
            <a:ln w="381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Campana!$C$5:$C$25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xVal>
          <c:yVal>
            <c:numRef>
              <c:f>Campana!$M$5:$M$25</c:f>
              <c:numCache>
                <c:formatCode>0.0000000000</c:formatCode>
                <c:ptCount val="21"/>
                <c:pt idx="0">
                  <c:v>0</c:v>
                </c:pt>
                <c:pt idx="1">
                  <c:v>8.1695828817222014E-4</c:v>
                </c:pt>
                <c:pt idx="2">
                  <c:v>2.3370307520361442E-3</c:v>
                </c:pt>
                <c:pt idx="3">
                  <c:v>5.058861410036238E-3</c:v>
                </c:pt>
                <c:pt idx="4">
                  <c:v>9.7474355199340685E-3</c:v>
                </c:pt>
                <c:pt idx="5">
                  <c:v>1.7513942217455631E-2</c:v>
                </c:pt>
                <c:pt idx="6">
                  <c:v>2.9879186243818721E-2</c:v>
                </c:pt>
                <c:pt idx="7">
                  <c:v>4.8790107804279746E-2</c:v>
                </c:pt>
                <c:pt idx="8">
                  <c:v>7.6551217470443411E-2</c:v>
                </c:pt>
                <c:pt idx="9">
                  <c:v>0.11563317023387343</c:v>
                </c:pt>
                <c:pt idx="10">
                  <c:v>0.1683346866275027</c:v>
                </c:pt>
                <c:pt idx="11">
                  <c:v>0.23630459251991756</c:v>
                </c:pt>
                <c:pt idx="12">
                  <c:v>0.31997562940158036</c:v>
                </c:pt>
                <c:pt idx="13">
                  <c:v>0.41801141043332729</c:v>
                </c:pt>
                <c:pt idx="14">
                  <c:v>0.52690638540869172</c:v>
                </c:pt>
                <c:pt idx="15">
                  <c:v>0.64088735688174947</c:v>
                </c:pt>
                <c:pt idx="16">
                  <c:v>0.75222997876608078</c:v>
                </c:pt>
                <c:pt idx="17">
                  <c:v>0.85202304156826003</c:v>
                </c:pt>
                <c:pt idx="18">
                  <c:v>0.93130234566111347</c:v>
                </c:pt>
                <c:pt idx="19">
                  <c:v>0.98236492461118974</c:v>
                </c:pt>
                <c:pt idx="20">
                  <c:v>1</c:v>
                </c:pt>
              </c:numCache>
            </c:numRef>
          </c:yVal>
          <c:smooth val="1"/>
        </c:ser>
        <c:dLbls/>
        <c:axId val="46207744"/>
        <c:axId val="46209664"/>
      </c:scatterChart>
      <c:valAx>
        <c:axId val="46207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Título del eje (unidades)</a:t>
                </a:r>
              </a:p>
            </c:rich>
          </c:tx>
          <c:layout>
            <c:manualLayout>
              <c:xMode val="edge"/>
              <c:yMode val="edge"/>
              <c:x val="0.39921173884922911"/>
              <c:y val="0.90238993710691828"/>
            </c:manualLayout>
          </c:layout>
          <c:spPr>
            <a:ln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6209664"/>
        <c:crosses val="autoZero"/>
        <c:crossBetween val="midCat"/>
      </c:valAx>
      <c:valAx>
        <c:axId val="46209664"/>
        <c:scaling>
          <c:orientation val="minMax"/>
          <c:max val="1"/>
          <c:min val="0"/>
        </c:scaling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Valor</a:t>
                </a:r>
              </a:p>
            </c:rich>
          </c:tx>
          <c:layout>
            <c:manualLayout>
              <c:xMode val="edge"/>
              <c:yMode val="edge"/>
              <c:x val="1.7121458208980884E-2"/>
              <c:y val="0.36772969416558782"/>
            </c:manualLayout>
          </c:layout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6207744"/>
        <c:crossesAt val="0"/>
        <c:crossBetween val="midCat"/>
        <c:majorUnit val="0.2"/>
        <c:minorUnit val="0.05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noFill/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ronos Pro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autoTitleDeleted val="1"/>
    <c:plotArea>
      <c:layout/>
      <c:scatterChart>
        <c:scatterStyle val="smoothMarker"/>
        <c:ser>
          <c:idx val="1"/>
          <c:order val="0"/>
          <c:spPr>
            <a:ln w="381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'Campana Inv'!$C$5:$C$25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'Campana Inv'!$M$5:$M$25</c:f>
              <c:numCache>
                <c:formatCode>0.0000000000</c:formatCode>
                <c:ptCount val="21"/>
                <c:pt idx="0">
                  <c:v>1</c:v>
                </c:pt>
                <c:pt idx="1">
                  <c:v>0.97937734008800892</c:v>
                </c:pt>
                <c:pt idx="2">
                  <c:v>0.95391168845002627</c:v>
                </c:pt>
                <c:pt idx="3">
                  <c:v>0.92298957270667703</c:v>
                </c:pt>
                <c:pt idx="4">
                  <c:v>0.88608006291104058</c:v>
                </c:pt>
                <c:pt idx="5">
                  <c:v>0.84279038976365062</c:v>
                </c:pt>
                <c:pt idx="6">
                  <c:v>0.79292560099137932</c:v>
                </c:pt>
                <c:pt idx="7">
                  <c:v>0.73654778832060919</c:v>
                </c:pt>
                <c:pt idx="8">
                  <c:v>0.67402936162312987</c:v>
                </c:pt>
                <c:pt idx="9">
                  <c:v>0.6060942107619085</c:v>
                </c:pt>
                <c:pt idx="10">
                  <c:v>0.53384056192311657</c:v>
                </c:pt>
                <c:pt idx="11">
                  <c:v>0.45874003614644276</c:v>
                </c:pt>
                <c:pt idx="12">
                  <c:v>0.38260890323298669</c:v>
                </c:pt>
                <c:pt idx="13">
                  <c:v>0.30754973739322877</c:v>
                </c:pt>
                <c:pt idx="14">
                  <c:v>0.23586444847517507</c:v>
                </c:pt>
                <c:pt idx="15">
                  <c:v>0.16994270323560678</c:v>
                </c:pt>
                <c:pt idx="16">
                  <c:v>0.11213270501250516</c:v>
                </c:pt>
                <c:pt idx="17">
                  <c:v>6.4603775378249351E-2</c:v>
                </c:pt>
                <c:pt idx="18">
                  <c:v>2.9211811801880816E-2</c:v>
                </c:pt>
                <c:pt idx="19">
                  <c:v>7.3792005499413449E-3</c:v>
                </c:pt>
                <c:pt idx="20">
                  <c:v>0</c:v>
                </c:pt>
              </c:numCache>
            </c:numRef>
          </c:yVal>
          <c:smooth val="1"/>
        </c:ser>
        <c:dLbls/>
        <c:axId val="78187136"/>
        <c:axId val="78189312"/>
      </c:scatterChart>
      <c:valAx>
        <c:axId val="78187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Título del eje (unidades)</a:t>
                </a:r>
              </a:p>
            </c:rich>
          </c:tx>
          <c:layout>
            <c:manualLayout>
              <c:xMode val="edge"/>
              <c:yMode val="edge"/>
              <c:x val="0.44931113098644532"/>
              <c:y val="0.91711565786141203"/>
            </c:manualLayout>
          </c:layout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8189312"/>
        <c:crosses val="autoZero"/>
        <c:crossBetween val="midCat"/>
      </c:valAx>
      <c:valAx>
        <c:axId val="78189312"/>
        <c:scaling>
          <c:orientation val="minMax"/>
          <c:max val="1"/>
          <c:min val="0"/>
        </c:scaling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Valor</a:t>
                </a:r>
              </a:p>
            </c:rich>
          </c:tx>
          <c:layout>
            <c:manualLayout>
              <c:xMode val="edge"/>
              <c:yMode val="edge"/>
              <c:x val="1.4976695150465246E-2"/>
              <c:y val="0.36623601478401346"/>
            </c:manualLayout>
          </c:layout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8187136"/>
        <c:crossesAt val="0"/>
        <c:crossBetween val="midCat"/>
        <c:majorUnit val="0.2"/>
        <c:minorUnit val="0.05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noFill/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ronos Pro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autoTitleDeleted val="1"/>
    <c:plotArea>
      <c:layout/>
      <c:scatterChart>
        <c:scatterStyle val="smoothMarker"/>
        <c:ser>
          <c:idx val="1"/>
          <c:order val="0"/>
          <c:spPr>
            <a:ln w="381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'Decreciente CX'!$C$5:$C$25</c:f>
              <c:numCache>
                <c:formatCode>General</c:formatCode>
                <c:ptCount val="21"/>
                <c:pt idx="0">
                  <c:v>10</c:v>
                </c:pt>
                <c:pt idx="1">
                  <c:v>59.5</c:v>
                </c:pt>
                <c:pt idx="2">
                  <c:v>109</c:v>
                </c:pt>
                <c:pt idx="3">
                  <c:v>158.5</c:v>
                </c:pt>
                <c:pt idx="4">
                  <c:v>208</c:v>
                </c:pt>
                <c:pt idx="5">
                  <c:v>257.5</c:v>
                </c:pt>
                <c:pt idx="6">
                  <c:v>307</c:v>
                </c:pt>
                <c:pt idx="7">
                  <c:v>356.5</c:v>
                </c:pt>
                <c:pt idx="8">
                  <c:v>406</c:v>
                </c:pt>
                <c:pt idx="9">
                  <c:v>455.5</c:v>
                </c:pt>
                <c:pt idx="10">
                  <c:v>505</c:v>
                </c:pt>
                <c:pt idx="11">
                  <c:v>554.5</c:v>
                </c:pt>
                <c:pt idx="12">
                  <c:v>604</c:v>
                </c:pt>
                <c:pt idx="13">
                  <c:v>653.5</c:v>
                </c:pt>
                <c:pt idx="14">
                  <c:v>703</c:v>
                </c:pt>
                <c:pt idx="15">
                  <c:v>752.5</c:v>
                </c:pt>
                <c:pt idx="16">
                  <c:v>802</c:v>
                </c:pt>
                <c:pt idx="17">
                  <c:v>851.5</c:v>
                </c:pt>
                <c:pt idx="18">
                  <c:v>901</c:v>
                </c:pt>
                <c:pt idx="19">
                  <c:v>950.5</c:v>
                </c:pt>
                <c:pt idx="20">
                  <c:v>1000</c:v>
                </c:pt>
              </c:numCache>
            </c:numRef>
          </c:xVal>
          <c:yVal>
            <c:numRef>
              <c:f>'Decreciente CX'!$M$5:$M$25</c:f>
              <c:numCache>
                <c:formatCode>General</c:formatCode>
                <c:ptCount val="21"/>
                <c:pt idx="0">
                  <c:v>1</c:v>
                </c:pt>
                <c:pt idx="1">
                  <c:v>0.99568530499097141</c:v>
                </c:pt>
                <c:pt idx="2">
                  <c:v>0.99043077957190606</c:v>
                </c:pt>
                <c:pt idx="3">
                  <c:v>0.98403170911111348</c:v>
                </c:pt>
                <c:pt idx="4">
                  <c:v>0.97623878786771978</c:v>
                </c:pt>
                <c:pt idx="5">
                  <c:v>0.96674840611964674</c:v>
                </c:pt>
                <c:pt idx="6">
                  <c:v>0.95519082162583324</c:v>
                </c:pt>
                <c:pt idx="7">
                  <c:v>0.94111575458664276</c:v>
                </c:pt>
                <c:pt idx="8">
                  <c:v>0.92397484488671822</c:v>
                </c:pt>
                <c:pt idx="9">
                  <c:v>0.90310028816006915</c:v>
                </c:pt>
                <c:pt idx="10">
                  <c:v>0.87767881834531314</c:v>
                </c:pt>
                <c:pt idx="11">
                  <c:v>0.8467200230997346</c:v>
                </c:pt>
                <c:pt idx="12">
                  <c:v>0.80901775765081352</c:v>
                </c:pt>
                <c:pt idx="13">
                  <c:v>0.76310315378120996</c:v>
                </c:pt>
                <c:pt idx="14">
                  <c:v>0.70718739319226798</c:v>
                </c:pt>
                <c:pt idx="15">
                  <c:v>0.63909201571456409</c:v>
                </c:pt>
                <c:pt idx="16">
                  <c:v>0.55616404719564938</c:v>
                </c:pt>
                <c:pt idx="17">
                  <c:v>0.45517264047460065</c:v>
                </c:pt>
                <c:pt idx="18">
                  <c:v>0.33218320260877449</c:v>
                </c:pt>
                <c:pt idx="19">
                  <c:v>0.18240410438972463</c:v>
                </c:pt>
                <c:pt idx="20">
                  <c:v>0</c:v>
                </c:pt>
              </c:numCache>
            </c:numRef>
          </c:yVal>
          <c:smooth val="1"/>
        </c:ser>
        <c:dLbls/>
        <c:axId val="46408064"/>
        <c:axId val="46409984"/>
      </c:scatterChart>
      <c:valAx>
        <c:axId val="464080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Título del eje (unidades)</a:t>
                </a:r>
              </a:p>
            </c:rich>
          </c:tx>
          <c:layout>
            <c:manualLayout>
              <c:xMode val="edge"/>
              <c:yMode val="edge"/>
              <c:x val="0.4501316718706157"/>
              <c:y val="0.91359332352058542"/>
            </c:manualLayout>
          </c:layout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6409984"/>
        <c:crosses val="autoZero"/>
        <c:crossBetween val="midCat"/>
      </c:valAx>
      <c:valAx>
        <c:axId val="46409984"/>
        <c:scaling>
          <c:orientation val="minMax"/>
          <c:max val="1"/>
          <c:min val="0"/>
        </c:scaling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Valor</a:t>
                </a:r>
              </a:p>
            </c:rich>
          </c:tx>
          <c:layout>
            <c:manualLayout>
              <c:xMode val="edge"/>
              <c:yMode val="edge"/>
              <c:x val="1.2629361874144264E-2"/>
              <c:y val="0.36640924875316178"/>
            </c:manualLayout>
          </c:layout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6408064"/>
        <c:crossesAt val="0"/>
        <c:crossBetween val="midCat"/>
        <c:majorUnit val="0.2"/>
        <c:minorUnit val="0.05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noFill/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ronos Pro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autoTitleDeleted val="1"/>
    <c:plotArea>
      <c:layout/>
      <c:scatterChart>
        <c:scatterStyle val="smoothMarker"/>
        <c:ser>
          <c:idx val="1"/>
          <c:order val="0"/>
          <c:spPr>
            <a:ln w="381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'Decreciente CV'!$C$5:$C$25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'Decreciente CV'!$M$5:$M$25</c:f>
              <c:numCache>
                <c:formatCode>General</c:formatCode>
                <c:ptCount val="21"/>
                <c:pt idx="0">
                  <c:v>1</c:v>
                </c:pt>
                <c:pt idx="1">
                  <c:v>0.84343929161326503</c:v>
                </c:pt>
                <c:pt idx="2">
                  <c:v>0.71045254107040579</c:v>
                </c:pt>
                <c:pt idx="3">
                  <c:v>0.59749012539033486</c:v>
                </c:pt>
                <c:pt idx="4">
                  <c:v>0.50153690219939262</c:v>
                </c:pt>
                <c:pt idx="5">
                  <c:v>0.42003173089704876</c:v>
                </c:pt>
                <c:pt idx="6">
                  <c:v>0.35079911183426848</c:v>
                </c:pt>
                <c:pt idx="7">
                  <c:v>0.29199111884801005</c:v>
                </c:pt>
                <c:pt idx="8">
                  <c:v>0.24203807524098198</c:v>
                </c:pt>
                <c:pt idx="9">
                  <c:v>0.19960665667193259</c:v>
                </c:pt>
                <c:pt idx="10">
                  <c:v>0.16356430265752059</c:v>
                </c:pt>
                <c:pt idx="11">
                  <c:v>0.13294898677346095</c:v>
                </c:pt>
                <c:pt idx="12">
                  <c:v>0.10694353867465015</c:v>
                </c:pt>
                <c:pt idx="13">
                  <c:v>8.4853832549094288E-2</c:v>
                </c:pt>
                <c:pt idx="14">
                  <c:v>6.6090259821588171E-2</c:v>
                </c:pt>
                <c:pt idx="15">
                  <c:v>5.0151991584823662E-2</c:v>
                </c:pt>
                <c:pt idx="16">
                  <c:v>3.661361069776211E-2</c:v>
                </c:pt>
                <c:pt idx="17">
                  <c:v>2.5113756741209518E-2</c:v>
                </c:pt>
                <c:pt idx="18">
                  <c:v>1.5345480746816097E-2</c:v>
                </c:pt>
                <c:pt idx="19">
                  <c:v>7.0480522522330452E-3</c:v>
                </c:pt>
                <c:pt idx="20">
                  <c:v>0</c:v>
                </c:pt>
              </c:numCache>
            </c:numRef>
          </c:yVal>
          <c:smooth val="1"/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'Decreciente CV'!$C$5:$C$25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'Decreciente CV'!$X$5:$X$25</c:f>
              <c:numCache>
                <c:formatCode>General</c:formatCode>
                <c:ptCount val="21"/>
              </c:numCache>
            </c:numRef>
          </c:yVal>
          <c:smooth val="1"/>
        </c:ser>
        <c:dLbls/>
        <c:axId val="47145344"/>
        <c:axId val="47147264"/>
      </c:scatterChart>
      <c:valAx>
        <c:axId val="47145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Título del eje (unidades)</a:t>
                </a:r>
              </a:p>
            </c:rich>
          </c:tx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7147264"/>
        <c:crosses val="autoZero"/>
        <c:crossBetween val="midCat"/>
      </c:valAx>
      <c:valAx>
        <c:axId val="47147264"/>
        <c:scaling>
          <c:orientation val="minMax"/>
          <c:max val="1"/>
          <c:min val="0"/>
        </c:scaling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Valor</a:t>
                </a:r>
              </a:p>
            </c:rich>
          </c:tx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7145344"/>
        <c:crossesAt val="0"/>
        <c:crossBetween val="midCat"/>
        <c:majorUnit val="0.2"/>
        <c:minorUnit val="0.05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noFill/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ronos Pro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autoTitleDeleted val="1"/>
    <c:plotArea>
      <c:layout/>
      <c:scatterChart>
        <c:scatterStyle val="smoothMarker"/>
        <c:ser>
          <c:idx val="3"/>
          <c:order val="0"/>
          <c:spPr>
            <a:ln w="38100"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Coseno!$G$5:$G$25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Coseno!$Y$5:$Y$25</c:f>
              <c:numCache>
                <c:formatCode>General</c:formatCode>
                <c:ptCount val="21"/>
                <c:pt idx="0">
                  <c:v>3.7524718414124473E-33</c:v>
                </c:pt>
                <c:pt idx="1">
                  <c:v>3.8060233744356645E-2</c:v>
                </c:pt>
                <c:pt idx="2">
                  <c:v>0.1464466094067263</c:v>
                </c:pt>
                <c:pt idx="3">
                  <c:v>0.30865828381745519</c:v>
                </c:pt>
                <c:pt idx="4">
                  <c:v>0.50000000000000011</c:v>
                </c:pt>
                <c:pt idx="5">
                  <c:v>0.69134171618254492</c:v>
                </c:pt>
                <c:pt idx="6">
                  <c:v>0.85355339059327373</c:v>
                </c:pt>
                <c:pt idx="7">
                  <c:v>0.96193976625564337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0.96193976625564337</c:v>
                </c:pt>
                <c:pt idx="14">
                  <c:v>0.85355339059327395</c:v>
                </c:pt>
                <c:pt idx="15">
                  <c:v>0.69134171618254492</c:v>
                </c:pt>
                <c:pt idx="16">
                  <c:v>0.49999999999999978</c:v>
                </c:pt>
                <c:pt idx="17">
                  <c:v>0.30865828381745519</c:v>
                </c:pt>
                <c:pt idx="18">
                  <c:v>0.14644660940672613</c:v>
                </c:pt>
                <c:pt idx="19">
                  <c:v>3.8060233744356721E-2</c:v>
                </c:pt>
                <c:pt idx="20">
                  <c:v>3.7524718414124473E-33</c:v>
                </c:pt>
              </c:numCache>
            </c:numRef>
          </c:yVal>
          <c:smooth val="1"/>
        </c:ser>
        <c:dLbls/>
        <c:axId val="47084288"/>
        <c:axId val="47086208"/>
      </c:scatterChart>
      <c:valAx>
        <c:axId val="470842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Título del eje (unidades)</a:t>
                </a:r>
              </a:p>
            </c:rich>
          </c:tx>
          <c:layout>
            <c:manualLayout>
              <c:xMode val="edge"/>
              <c:yMode val="edge"/>
              <c:x val="0.44918007202333682"/>
              <c:y val="0.91691083451122968"/>
            </c:manualLayout>
          </c:layout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7086208"/>
        <c:crosses val="autoZero"/>
        <c:crossBetween val="midCat"/>
      </c:valAx>
      <c:valAx>
        <c:axId val="47086208"/>
        <c:scaling>
          <c:orientation val="minMax"/>
          <c:max val="1"/>
          <c:min val="0"/>
        </c:scaling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s-MX" b="1"/>
                  <a:t>Valor</a:t>
                </a:r>
              </a:p>
            </c:rich>
          </c:tx>
          <c:layout>
            <c:manualLayout>
              <c:xMode val="edge"/>
              <c:yMode val="edge"/>
              <c:x val="1.7160478000385438E-2"/>
              <c:y val="0.37153848965617886"/>
            </c:manualLayout>
          </c:layout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7084288"/>
        <c:crossesAt val="0"/>
        <c:crossBetween val="midCat"/>
        <c:majorUnit val="0.2"/>
        <c:minorUnit val="0.05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noFill/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ronos Pro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#'Creciente CX'!A1"/><Relationship Id="rId7" Type="http://schemas.openxmlformats.org/officeDocument/2006/relationships/hyperlink" Target="#Campana!A1"/><Relationship Id="rId12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hyperlink" Target="#'Creciente CV'!A1"/><Relationship Id="rId6" Type="http://schemas.openxmlformats.org/officeDocument/2006/relationships/image" Target="../media/image3.emf"/><Relationship Id="rId11" Type="http://schemas.openxmlformats.org/officeDocument/2006/relationships/hyperlink" Target="#'Decreciente CX'!A1"/><Relationship Id="rId5" Type="http://schemas.openxmlformats.org/officeDocument/2006/relationships/hyperlink" Target="#'Campana Inv'!A1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hyperlink" Target="#'Decreciente CV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7</xdr:row>
      <xdr:rowOff>19050</xdr:rowOff>
    </xdr:from>
    <xdr:to>
      <xdr:col>5</xdr:col>
      <xdr:colOff>452439</xdr:colOff>
      <xdr:row>15</xdr:row>
      <xdr:rowOff>149225</xdr:rowOff>
    </xdr:to>
    <xdr:grpSp>
      <xdr:nvGrpSpPr>
        <xdr:cNvPr id="2" name="Group 22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647700" y="1152525"/>
          <a:ext cx="3614739" cy="1425575"/>
          <a:chOff x="0" y="119"/>
          <a:chExt cx="2835" cy="1270"/>
        </a:xfrm>
      </xdr:grpSpPr>
      <xdr:pic>
        <xdr:nvPicPr>
          <xdr:cNvPr id="18" name="Picture 8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115" y="181"/>
            <a:ext cx="2720" cy="120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 xmlns="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sp macro="" textlink="">
        <xdr:nvSpPr>
          <xdr:cNvPr id="19" name="Text Box 14"/>
          <xdr:cNvSpPr txBox="1">
            <a:spLocks noChangeArrowheads="1"/>
          </xdr:cNvSpPr>
        </xdr:nvSpPr>
        <xdr:spPr bwMode="auto">
          <a:xfrm>
            <a:off x="0" y="119"/>
            <a:ext cx="363" cy="237"/>
          </a:xfrm>
          <a:prstGeom prst="rect">
            <a:avLst/>
          </a:prstGeom>
          <a:solidFill>
            <a:schemeClr val="accent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>
            <a:spAutoFit/>
          </a:bodyPr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spcBef>
                <a:spcPct val="50000"/>
              </a:spcBef>
            </a:pPr>
            <a:r>
              <a:rPr lang="es-ES_tradnl">
                <a:latin typeface="Arial Black" pitchFamily="34" charset="0"/>
              </a:rPr>
              <a:t>C1</a:t>
            </a:r>
            <a:endParaRPr lang="es-ES">
              <a:latin typeface="Arial Black" pitchFamily="34" charset="0"/>
            </a:endParaRPr>
          </a:p>
        </xdr:txBody>
      </xdr:sp>
    </xdr:grpSp>
    <xdr:clientData/>
  </xdr:twoCellAnchor>
  <xdr:twoCellAnchor>
    <xdr:from>
      <xdr:col>5</xdr:col>
      <xdr:colOff>502627</xdr:colOff>
      <xdr:row>7</xdr:row>
      <xdr:rowOff>19050</xdr:rowOff>
    </xdr:from>
    <xdr:to>
      <xdr:col>10</xdr:col>
      <xdr:colOff>220663</xdr:colOff>
      <xdr:row>15</xdr:row>
      <xdr:rowOff>149225</xdr:rowOff>
    </xdr:to>
    <xdr:grpSp>
      <xdr:nvGrpSpPr>
        <xdr:cNvPr id="3" name="Group 23">
          <a:hlinkClick xmlns:r="http://schemas.openxmlformats.org/officeDocument/2006/relationships" r:id="rId3"/>
        </xdr:cNvPr>
        <xdr:cNvGrpSpPr>
          <a:grpSpLocks/>
        </xdr:cNvGrpSpPr>
      </xdr:nvGrpSpPr>
      <xdr:grpSpPr bwMode="auto">
        <a:xfrm>
          <a:off x="4312627" y="1152525"/>
          <a:ext cx="3528036" cy="1425575"/>
          <a:chOff x="2880" y="119"/>
          <a:chExt cx="2767" cy="1270"/>
        </a:xfrm>
      </xdr:grpSpPr>
      <xdr:pic>
        <xdr:nvPicPr>
          <xdr:cNvPr id="16" name="Picture 21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2927" y="181"/>
            <a:ext cx="2720" cy="120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 xmlns="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sp macro="" textlink="">
        <xdr:nvSpPr>
          <xdr:cNvPr id="17" name="Text Box 15"/>
          <xdr:cNvSpPr txBox="1">
            <a:spLocks noChangeArrowheads="1"/>
          </xdr:cNvSpPr>
        </xdr:nvSpPr>
        <xdr:spPr bwMode="auto">
          <a:xfrm>
            <a:off x="2880" y="119"/>
            <a:ext cx="363" cy="259"/>
          </a:xfrm>
          <a:prstGeom prst="rect">
            <a:avLst/>
          </a:prstGeom>
          <a:solidFill>
            <a:schemeClr val="accent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>
            <a:spAutoFit/>
          </a:bodyPr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spcBef>
                <a:spcPct val="50000"/>
              </a:spcBef>
            </a:pPr>
            <a:r>
              <a:rPr lang="es-ES_tradnl">
                <a:latin typeface="Arial Black" pitchFamily="34" charset="0"/>
              </a:rPr>
              <a:t>C2</a:t>
            </a:r>
            <a:endParaRPr lang="es-ES">
              <a:latin typeface="Arial Black" pitchFamily="34" charset="0"/>
            </a:endParaRPr>
          </a:p>
        </xdr:txBody>
      </xdr:sp>
    </xdr:grpSp>
    <xdr:clientData/>
  </xdr:twoCellAnchor>
  <xdr:twoCellAnchor>
    <xdr:from>
      <xdr:col>0</xdr:col>
      <xdr:colOff>647700</xdr:colOff>
      <xdr:row>25</xdr:row>
      <xdr:rowOff>57150</xdr:rowOff>
    </xdr:from>
    <xdr:to>
      <xdr:col>5</xdr:col>
      <xdr:colOff>452439</xdr:colOff>
      <xdr:row>34</xdr:row>
      <xdr:rowOff>25400</xdr:rowOff>
    </xdr:to>
    <xdr:grpSp>
      <xdr:nvGrpSpPr>
        <xdr:cNvPr id="4" name="Group 24">
          <a:hlinkClick xmlns:r="http://schemas.openxmlformats.org/officeDocument/2006/relationships" r:id="rId5"/>
        </xdr:cNvPr>
        <xdr:cNvGrpSpPr>
          <a:grpSpLocks/>
        </xdr:cNvGrpSpPr>
      </xdr:nvGrpSpPr>
      <xdr:grpSpPr bwMode="auto">
        <a:xfrm>
          <a:off x="647700" y="4105275"/>
          <a:ext cx="3614739" cy="1425575"/>
          <a:chOff x="0" y="1434"/>
          <a:chExt cx="2835" cy="1270"/>
        </a:xfrm>
      </xdr:grpSpPr>
      <xdr:pic>
        <xdr:nvPicPr>
          <xdr:cNvPr id="14" name="Picture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115" y="1498"/>
            <a:ext cx="2720" cy="1206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 xmlns="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sp macro="" textlink="">
        <xdr:nvSpPr>
          <xdr:cNvPr id="15" name="Text Box 16"/>
          <xdr:cNvSpPr txBox="1">
            <a:spLocks noChangeArrowheads="1"/>
          </xdr:cNvSpPr>
        </xdr:nvSpPr>
        <xdr:spPr bwMode="auto">
          <a:xfrm>
            <a:off x="0" y="1434"/>
            <a:ext cx="363" cy="237"/>
          </a:xfrm>
          <a:prstGeom prst="rect">
            <a:avLst/>
          </a:prstGeom>
          <a:solidFill>
            <a:schemeClr val="accent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>
            <a:spAutoFit/>
          </a:bodyPr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spcBef>
                <a:spcPct val="50000"/>
              </a:spcBef>
            </a:pPr>
            <a:r>
              <a:rPr lang="es-ES_tradnl">
                <a:latin typeface="Arial Black" pitchFamily="34" charset="0"/>
              </a:rPr>
              <a:t>O1</a:t>
            </a:r>
            <a:endParaRPr lang="es-ES">
              <a:latin typeface="Arial Black" pitchFamily="34" charset="0"/>
            </a:endParaRPr>
          </a:p>
        </xdr:txBody>
      </xdr:sp>
    </xdr:grpSp>
    <xdr:clientData/>
  </xdr:twoCellAnchor>
  <xdr:twoCellAnchor>
    <xdr:from>
      <xdr:col>5</xdr:col>
      <xdr:colOff>502002</xdr:colOff>
      <xdr:row>25</xdr:row>
      <xdr:rowOff>57150</xdr:rowOff>
    </xdr:from>
    <xdr:to>
      <xdr:col>10</xdr:col>
      <xdr:colOff>217488</xdr:colOff>
      <xdr:row>34</xdr:row>
      <xdr:rowOff>25400</xdr:rowOff>
    </xdr:to>
    <xdr:grpSp>
      <xdr:nvGrpSpPr>
        <xdr:cNvPr id="5" name="Group 25">
          <a:hlinkClick xmlns:r="http://schemas.openxmlformats.org/officeDocument/2006/relationships" r:id="rId7"/>
        </xdr:cNvPr>
        <xdr:cNvGrpSpPr>
          <a:grpSpLocks/>
        </xdr:cNvGrpSpPr>
      </xdr:nvGrpSpPr>
      <xdr:grpSpPr bwMode="auto">
        <a:xfrm>
          <a:off x="4312002" y="4105275"/>
          <a:ext cx="3525486" cy="1425575"/>
          <a:chOff x="2880" y="1434"/>
          <a:chExt cx="2765" cy="1270"/>
        </a:xfrm>
      </xdr:grpSpPr>
      <xdr:pic>
        <xdr:nvPicPr>
          <xdr:cNvPr id="12" name="Picture 12"/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2925" y="1498"/>
            <a:ext cx="2720" cy="1206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 xmlns="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sp macro="" textlink="">
        <xdr:nvSpPr>
          <xdr:cNvPr id="13" name="Text Box 17"/>
          <xdr:cNvSpPr txBox="1">
            <a:spLocks noChangeArrowheads="1"/>
          </xdr:cNvSpPr>
        </xdr:nvSpPr>
        <xdr:spPr bwMode="auto">
          <a:xfrm>
            <a:off x="2880" y="1434"/>
            <a:ext cx="363" cy="237"/>
          </a:xfrm>
          <a:prstGeom prst="rect">
            <a:avLst/>
          </a:prstGeom>
          <a:solidFill>
            <a:schemeClr val="accent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>
            <a:spAutoFit/>
          </a:bodyPr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spcBef>
                <a:spcPct val="50000"/>
              </a:spcBef>
            </a:pPr>
            <a:r>
              <a:rPr lang="es-ES_tradnl">
                <a:latin typeface="Arial Black" pitchFamily="34" charset="0"/>
              </a:rPr>
              <a:t>O2</a:t>
            </a:r>
            <a:endParaRPr lang="es-ES">
              <a:latin typeface="Arial Black" pitchFamily="34" charset="0"/>
            </a:endParaRPr>
          </a:p>
        </xdr:txBody>
      </xdr:sp>
    </xdr:grpSp>
    <xdr:clientData/>
  </xdr:twoCellAnchor>
  <xdr:twoCellAnchor>
    <xdr:from>
      <xdr:col>0</xdr:col>
      <xdr:colOff>647700</xdr:colOff>
      <xdr:row>16</xdr:row>
      <xdr:rowOff>47658</xdr:rowOff>
    </xdr:from>
    <xdr:to>
      <xdr:col>5</xdr:col>
      <xdr:colOff>452439</xdr:colOff>
      <xdr:row>24</xdr:row>
      <xdr:rowOff>158750</xdr:rowOff>
    </xdr:to>
    <xdr:grpSp>
      <xdr:nvGrpSpPr>
        <xdr:cNvPr id="6" name="Group 27">
          <a:hlinkClick xmlns:r="http://schemas.openxmlformats.org/officeDocument/2006/relationships" r:id="rId9"/>
        </xdr:cNvPr>
        <xdr:cNvGrpSpPr>
          <a:grpSpLocks/>
        </xdr:cNvGrpSpPr>
      </xdr:nvGrpSpPr>
      <xdr:grpSpPr bwMode="auto">
        <a:xfrm>
          <a:off x="647700" y="2638458"/>
          <a:ext cx="3614739" cy="1406492"/>
          <a:chOff x="0" y="2795"/>
          <a:chExt cx="2835" cy="1253"/>
        </a:xfrm>
      </xdr:grpSpPr>
      <xdr:pic>
        <xdr:nvPicPr>
          <xdr:cNvPr id="10" name="Picture 11"/>
          <xdr:cNvPicPr>
            <a:picLocks noChangeAspect="1"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115" y="2841"/>
            <a:ext cx="2720" cy="1207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 xmlns="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sp macro="" textlink="">
        <xdr:nvSpPr>
          <xdr:cNvPr id="11" name="Text Box 18"/>
          <xdr:cNvSpPr txBox="1">
            <a:spLocks noChangeArrowheads="1"/>
          </xdr:cNvSpPr>
        </xdr:nvSpPr>
        <xdr:spPr bwMode="auto">
          <a:xfrm>
            <a:off x="0" y="2795"/>
            <a:ext cx="363" cy="237"/>
          </a:xfrm>
          <a:prstGeom prst="rect">
            <a:avLst/>
          </a:prstGeom>
          <a:solidFill>
            <a:schemeClr val="accent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>
            <a:spAutoFit/>
          </a:bodyPr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spcBef>
                <a:spcPct val="50000"/>
              </a:spcBef>
            </a:pPr>
            <a:r>
              <a:rPr lang="es-ES_tradnl">
                <a:latin typeface="Arial Black" pitchFamily="34" charset="0"/>
              </a:rPr>
              <a:t>D1</a:t>
            </a:r>
            <a:endParaRPr lang="es-ES">
              <a:latin typeface="Arial Black" pitchFamily="34" charset="0"/>
            </a:endParaRPr>
          </a:p>
        </xdr:txBody>
      </xdr:sp>
    </xdr:grpSp>
    <xdr:clientData/>
  </xdr:twoCellAnchor>
  <xdr:twoCellAnchor>
    <xdr:from>
      <xdr:col>5</xdr:col>
      <xdr:colOff>502627</xdr:colOff>
      <xdr:row>16</xdr:row>
      <xdr:rowOff>48126</xdr:rowOff>
    </xdr:from>
    <xdr:to>
      <xdr:col>10</xdr:col>
      <xdr:colOff>220663</xdr:colOff>
      <xdr:row>24</xdr:row>
      <xdr:rowOff>160342</xdr:rowOff>
    </xdr:to>
    <xdr:grpSp>
      <xdr:nvGrpSpPr>
        <xdr:cNvPr id="7" name="Group 26">
          <a:hlinkClick xmlns:r="http://schemas.openxmlformats.org/officeDocument/2006/relationships" r:id="rId11"/>
        </xdr:cNvPr>
        <xdr:cNvGrpSpPr>
          <a:grpSpLocks/>
        </xdr:cNvGrpSpPr>
      </xdr:nvGrpSpPr>
      <xdr:grpSpPr bwMode="auto">
        <a:xfrm>
          <a:off x="4312627" y="2638926"/>
          <a:ext cx="3528036" cy="1407616"/>
          <a:chOff x="2880" y="2795"/>
          <a:chExt cx="2767" cy="1254"/>
        </a:xfrm>
      </xdr:grpSpPr>
      <xdr:pic>
        <xdr:nvPicPr>
          <xdr:cNvPr id="8" name="Picture 20"/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2927" y="2840"/>
            <a:ext cx="2720" cy="120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 xmlns="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sp macro="" textlink="">
        <xdr:nvSpPr>
          <xdr:cNvPr id="9" name="Text Box 19"/>
          <xdr:cNvSpPr txBox="1">
            <a:spLocks noChangeArrowheads="1"/>
          </xdr:cNvSpPr>
        </xdr:nvSpPr>
        <xdr:spPr bwMode="auto">
          <a:xfrm>
            <a:off x="2880" y="2795"/>
            <a:ext cx="363" cy="237"/>
          </a:xfrm>
          <a:prstGeom prst="rect">
            <a:avLst/>
          </a:prstGeom>
          <a:solidFill>
            <a:schemeClr val="accent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 xmlns="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>
            <a:spAutoFit/>
          </a:bodyPr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spcBef>
                <a:spcPct val="50000"/>
              </a:spcBef>
            </a:pPr>
            <a:r>
              <a:rPr lang="es-ES_tradnl">
                <a:latin typeface="Arial Black" pitchFamily="34" charset="0"/>
              </a:rPr>
              <a:t>D2</a:t>
            </a:r>
            <a:endParaRPr lang="es-ES">
              <a:latin typeface="Arial Black" pitchFamily="34" charset="0"/>
            </a:endParaRPr>
          </a:p>
        </xdr:txBody>
      </xdr:sp>
    </xdr:grpSp>
    <xdr:clientData/>
  </xdr:twoCellAnchor>
  <xdr:twoCellAnchor>
    <xdr:from>
      <xdr:col>0</xdr:col>
      <xdr:colOff>638175</xdr:colOff>
      <xdr:row>0</xdr:row>
      <xdr:rowOff>123825</xdr:rowOff>
    </xdr:from>
    <xdr:to>
      <xdr:col>10</xdr:col>
      <xdr:colOff>282575</xdr:colOff>
      <xdr:row>6</xdr:row>
      <xdr:rowOff>47625</xdr:rowOff>
    </xdr:to>
    <xdr:sp macro="" textlink="">
      <xdr:nvSpPr>
        <xdr:cNvPr id="20" name="19 CuadroTexto"/>
        <xdr:cNvSpPr txBox="1"/>
      </xdr:nvSpPr>
      <xdr:spPr>
        <a:xfrm>
          <a:off x="638175" y="123825"/>
          <a:ext cx="7264400" cy="8953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MX" sz="2400" b="1">
              <a:latin typeface="+mn-lt"/>
            </a:rPr>
            <a:t>¿Que</a:t>
          </a:r>
          <a:r>
            <a:rPr lang="es-MX" sz="2400" b="1" baseline="0">
              <a:latin typeface="+mn-lt"/>
            </a:rPr>
            <a:t> gráfico describe mejor el cambio de valor del atributo?</a:t>
          </a:r>
          <a:endParaRPr lang="es-MX" sz="24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30</xdr:row>
      <xdr:rowOff>123825</xdr:rowOff>
    </xdr:from>
    <xdr:to>
      <xdr:col>37</xdr:col>
      <xdr:colOff>114299</xdr:colOff>
      <xdr:row>35</xdr:row>
      <xdr:rowOff>38099</xdr:rowOff>
    </xdr:to>
    <xdr:sp macro="" textlink="">
      <xdr:nvSpPr>
        <xdr:cNvPr id="14" name="13 Rectángulo redondeado"/>
        <xdr:cNvSpPr/>
      </xdr:nvSpPr>
      <xdr:spPr>
        <a:xfrm>
          <a:off x="3619500" y="4867275"/>
          <a:ext cx="2247899" cy="723899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28576</xdr:colOff>
      <xdr:row>3</xdr:row>
      <xdr:rowOff>73025</xdr:rowOff>
    </xdr:from>
    <xdr:to>
      <xdr:col>42</xdr:col>
      <xdr:colOff>95250</xdr:colOff>
      <xdr:row>25</xdr:row>
      <xdr:rowOff>95250</xdr:rowOff>
    </xdr:to>
    <xdr:graphicFrame macro="">
      <xdr:nvGraphicFramePr>
        <xdr:cNvPr id="51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25399</xdr:colOff>
      <xdr:row>0</xdr:row>
      <xdr:rowOff>101600</xdr:rowOff>
    </xdr:from>
    <xdr:to>
      <xdr:col>42</xdr:col>
      <xdr:colOff>114299</xdr:colOff>
      <xdr:row>3</xdr:row>
      <xdr:rowOff>38100</xdr:rowOff>
    </xdr:to>
    <xdr:sp macro="" textlink="">
      <xdr:nvSpPr>
        <xdr:cNvPr id="2" name="1 CuadroTexto"/>
        <xdr:cNvSpPr txBox="1"/>
      </xdr:nvSpPr>
      <xdr:spPr>
        <a:xfrm>
          <a:off x="634999" y="101600"/>
          <a:ext cx="5946775" cy="4222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400" b="1">
              <a:latin typeface="+mn-lt"/>
            </a:rPr>
            <a:t>FUNCIÓN</a:t>
          </a:r>
          <a:r>
            <a:rPr lang="es-MX" sz="2400" b="1" baseline="0">
              <a:latin typeface="+mn-lt"/>
            </a:rPr>
            <a:t> DE VALOR CRECIENTE CÓNCAVA</a:t>
          </a:r>
          <a:endParaRPr lang="es-MX" sz="2400" b="1">
            <a:latin typeface="+mn-lt"/>
          </a:endParaRPr>
        </a:p>
      </xdr:txBody>
    </xdr:sp>
    <xdr:clientData/>
  </xdr:twoCellAnchor>
  <xdr:twoCellAnchor>
    <xdr:from>
      <xdr:col>1</xdr:col>
      <xdr:colOff>25400</xdr:colOff>
      <xdr:row>25</xdr:row>
      <xdr:rowOff>158750</xdr:rowOff>
    </xdr:from>
    <xdr:to>
      <xdr:col>25</xdr:col>
      <xdr:colOff>0</xdr:colOff>
      <xdr:row>29</xdr:row>
      <xdr:rowOff>142875</xdr:rowOff>
    </xdr:to>
    <xdr:sp macro="" textlink="">
      <xdr:nvSpPr>
        <xdr:cNvPr id="3" name="2 CuadroTexto"/>
        <xdr:cNvSpPr txBox="1"/>
      </xdr:nvSpPr>
      <xdr:spPr>
        <a:xfrm>
          <a:off x="635000" y="4206875"/>
          <a:ext cx="3403600" cy="63182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/>
            <a:t>SELECCIONE LOS VALORES QUE MEJOR DESCRIBAN EL</a:t>
          </a:r>
          <a:r>
            <a:rPr lang="es-MX" sz="1600" baseline="0"/>
            <a:t> ATRIBUTO A EVALUAR</a:t>
          </a:r>
        </a:p>
      </xdr:txBody>
    </xdr:sp>
    <xdr:clientData/>
  </xdr:twoCellAnchor>
  <xdr:twoCellAnchor>
    <xdr:from>
      <xdr:col>1</xdr:col>
      <xdr:colOff>28575</xdr:colOff>
      <xdr:row>31</xdr:row>
      <xdr:rowOff>19051</xdr:rowOff>
    </xdr:from>
    <xdr:to>
      <xdr:col>5</xdr:col>
      <xdr:colOff>104775</xdr:colOff>
      <xdr:row>32</xdr:row>
      <xdr:rowOff>152400</xdr:rowOff>
    </xdr:to>
    <xdr:sp macro="" textlink="">
      <xdr:nvSpPr>
        <xdr:cNvPr id="8" name="7 CuadroTexto">
          <a:hlinkClick xmlns:r="http://schemas.openxmlformats.org/officeDocument/2006/relationships" r:id="rId2"/>
        </xdr:cNvPr>
        <xdr:cNvSpPr txBox="1"/>
      </xdr:nvSpPr>
      <xdr:spPr>
        <a:xfrm>
          <a:off x="638175" y="5038726"/>
          <a:ext cx="647700" cy="295274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INICIO</a:t>
          </a:r>
        </a:p>
      </xdr:txBody>
    </xdr:sp>
    <xdr:clientData/>
  </xdr:twoCellAnchor>
  <xdr:twoCellAnchor>
    <xdr:from>
      <xdr:col>1</xdr:col>
      <xdr:colOff>28575</xdr:colOff>
      <xdr:row>36</xdr:row>
      <xdr:rowOff>0</xdr:rowOff>
    </xdr:from>
    <xdr:to>
      <xdr:col>42</xdr:col>
      <xdr:colOff>114300</xdr:colOff>
      <xdr:row>38</xdr:row>
      <xdr:rowOff>28575</xdr:rowOff>
    </xdr:to>
    <xdr:sp macro="" textlink="">
      <xdr:nvSpPr>
        <xdr:cNvPr id="6" name="5 Rectángulo redondeado"/>
        <xdr:cNvSpPr/>
      </xdr:nvSpPr>
      <xdr:spPr>
        <a:xfrm>
          <a:off x="638175" y="5629275"/>
          <a:ext cx="5943600" cy="352425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oneCellAnchor>
    <xdr:from>
      <xdr:col>6</xdr:col>
      <xdr:colOff>88444</xdr:colOff>
      <xdr:row>29</xdr:row>
      <xdr:rowOff>152401</xdr:rowOff>
    </xdr:from>
    <xdr:ext cx="266701" cy="266699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4" name="3 CuadroTexto"/>
            <xdr:cNvSpPr txBox="1"/>
          </xdr:nvSpPr>
          <xdr:spPr>
            <a:xfrm>
              <a:off x="993319" y="4733926"/>
              <a:ext cx="266701" cy="266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MX" sz="1100" i="1">
                        <a:latin typeface="Cambria Math"/>
                        <a:ea typeface="Cambria Math"/>
                      </a:rPr>
                      <m:t>𝛾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4" name="3 CuadroTexto"/>
            <xdr:cNvSpPr txBox="1"/>
          </xdr:nvSpPr>
          <xdr:spPr>
            <a:xfrm>
              <a:off x="993319" y="4733926"/>
              <a:ext cx="266701" cy="266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es-MX" sz="1100" i="0">
                  <a:latin typeface="Cambria Math"/>
                  <a:ea typeface="Cambria Math"/>
                </a:rPr>
                <a:t>𝛾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6</xdr:col>
      <xdr:colOff>88446</xdr:colOff>
      <xdr:row>31</xdr:row>
      <xdr:rowOff>100012</xdr:rowOff>
    </xdr:from>
    <xdr:ext cx="238125" cy="264560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5" name="4 CuadroTexto"/>
            <xdr:cNvSpPr txBox="1"/>
          </xdr:nvSpPr>
          <xdr:spPr>
            <a:xfrm>
              <a:off x="993321" y="4919662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/>
                      </a:rPr>
                      <m:t>𝑥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5" name="4 CuadroTexto"/>
            <xdr:cNvSpPr txBox="1"/>
          </xdr:nvSpPr>
          <xdr:spPr>
            <a:xfrm>
              <a:off x="993321" y="4919662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s-ES" sz="1100" b="0" i="0">
                  <a:latin typeface="Cambria Math"/>
                </a:rPr>
                <a:t>𝑥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104776</xdr:colOff>
      <xdr:row>31</xdr:row>
      <xdr:rowOff>9525</xdr:rowOff>
    </xdr:from>
    <xdr:to>
      <xdr:col>37</xdr:col>
      <xdr:colOff>123826</xdr:colOff>
      <xdr:row>35</xdr:row>
      <xdr:rowOff>0</xdr:rowOff>
    </xdr:to>
    <xdr:sp macro="" textlink="">
      <xdr:nvSpPr>
        <xdr:cNvPr id="13" name="12 Rectángulo redondeado"/>
        <xdr:cNvSpPr/>
      </xdr:nvSpPr>
      <xdr:spPr>
        <a:xfrm>
          <a:off x="3267076" y="4838700"/>
          <a:ext cx="2305050" cy="638175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28575</xdr:colOff>
      <xdr:row>3</xdr:row>
      <xdr:rowOff>95249</xdr:rowOff>
    </xdr:from>
    <xdr:to>
      <xdr:col>42</xdr:col>
      <xdr:colOff>104775</xdr:colOff>
      <xdr:row>25</xdr:row>
      <xdr:rowOff>104774</xdr:rowOff>
    </xdr:to>
    <xdr:graphicFrame macro="">
      <xdr:nvGraphicFramePr>
        <xdr:cNvPr id="205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0</xdr:row>
      <xdr:rowOff>101600</xdr:rowOff>
    </xdr:from>
    <xdr:to>
      <xdr:col>42</xdr:col>
      <xdr:colOff>104775</xdr:colOff>
      <xdr:row>3</xdr:row>
      <xdr:rowOff>38300</xdr:rowOff>
    </xdr:to>
    <xdr:sp macro="" textlink="">
      <xdr:nvSpPr>
        <xdr:cNvPr id="3" name="2 CuadroTexto"/>
        <xdr:cNvSpPr txBox="1"/>
      </xdr:nvSpPr>
      <xdr:spPr>
        <a:xfrm>
          <a:off x="333375" y="101600"/>
          <a:ext cx="5934075" cy="422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400" b="1">
              <a:latin typeface="+mn-lt"/>
            </a:rPr>
            <a:t>FUNCIÓN</a:t>
          </a:r>
          <a:r>
            <a:rPr lang="es-MX" sz="2400" b="1" baseline="0">
              <a:latin typeface="+mn-lt"/>
            </a:rPr>
            <a:t> DE VALOR CRECIENTE CONVEXA</a:t>
          </a:r>
          <a:endParaRPr lang="es-MX" sz="2400" b="1">
            <a:latin typeface="+mn-lt"/>
          </a:endParaRPr>
        </a:p>
      </xdr:txBody>
    </xdr:sp>
    <xdr:clientData/>
  </xdr:twoCellAnchor>
  <xdr:twoCellAnchor>
    <xdr:from>
      <xdr:col>1</xdr:col>
      <xdr:colOff>31749</xdr:colOff>
      <xdr:row>31</xdr:row>
      <xdr:rowOff>0</xdr:rowOff>
    </xdr:from>
    <xdr:to>
      <xdr:col>5</xdr:col>
      <xdr:colOff>123824</xdr:colOff>
      <xdr:row>32</xdr:row>
      <xdr:rowOff>152400</xdr:rowOff>
    </xdr:to>
    <xdr:sp macro="" textlink="">
      <xdr:nvSpPr>
        <xdr:cNvPr id="6" name="5 CuadroTexto">
          <a:hlinkClick xmlns:r="http://schemas.openxmlformats.org/officeDocument/2006/relationships" r:id="rId2"/>
        </xdr:cNvPr>
        <xdr:cNvSpPr txBox="1"/>
      </xdr:nvSpPr>
      <xdr:spPr>
        <a:xfrm>
          <a:off x="336549" y="4914900"/>
          <a:ext cx="663575" cy="31432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INICIO</a:t>
          </a:r>
        </a:p>
      </xdr:txBody>
    </xdr:sp>
    <xdr:clientData/>
  </xdr:twoCellAnchor>
  <xdr:twoCellAnchor>
    <xdr:from>
      <xdr:col>1</xdr:col>
      <xdr:colOff>19050</xdr:colOff>
      <xdr:row>25</xdr:row>
      <xdr:rowOff>152401</xdr:rowOff>
    </xdr:from>
    <xdr:to>
      <xdr:col>24</xdr:col>
      <xdr:colOff>133351</xdr:colOff>
      <xdr:row>29</xdr:row>
      <xdr:rowOff>133351</xdr:rowOff>
    </xdr:to>
    <xdr:sp macro="" textlink="">
      <xdr:nvSpPr>
        <xdr:cNvPr id="7" name="6 CuadroTexto"/>
        <xdr:cNvSpPr txBox="1"/>
      </xdr:nvSpPr>
      <xdr:spPr>
        <a:xfrm>
          <a:off x="323850" y="4095751"/>
          <a:ext cx="3400426" cy="6286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/>
            <a:t>SELECCIONE LOS VALORES QUE MEJOR DESCRIBAN EL</a:t>
          </a:r>
          <a:r>
            <a:rPr lang="es-MX" sz="1600" baseline="0"/>
            <a:t> ATRIBUTO A EVALUAR</a:t>
          </a:r>
        </a:p>
      </xdr:txBody>
    </xdr:sp>
    <xdr:clientData/>
  </xdr:twoCellAnchor>
  <xdr:twoCellAnchor>
    <xdr:from>
      <xdr:col>1</xdr:col>
      <xdr:colOff>19050</xdr:colOff>
      <xdr:row>35</xdr:row>
      <xdr:rowOff>57150</xdr:rowOff>
    </xdr:from>
    <xdr:to>
      <xdr:col>42</xdr:col>
      <xdr:colOff>114300</xdr:colOff>
      <xdr:row>38</xdr:row>
      <xdr:rowOff>28575</xdr:rowOff>
    </xdr:to>
    <xdr:sp macro="" textlink="">
      <xdr:nvSpPr>
        <xdr:cNvPr id="8" name="7 Rectángulo redondeado"/>
        <xdr:cNvSpPr/>
      </xdr:nvSpPr>
      <xdr:spPr>
        <a:xfrm>
          <a:off x="323850" y="5534025"/>
          <a:ext cx="5953125" cy="371475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oneCellAnchor>
    <xdr:from>
      <xdr:col>6</xdr:col>
      <xdr:colOff>88444</xdr:colOff>
      <xdr:row>29</xdr:row>
      <xdr:rowOff>152401</xdr:rowOff>
    </xdr:from>
    <xdr:ext cx="266701" cy="266699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11" name="10 CuadroTexto"/>
            <xdr:cNvSpPr txBox="1"/>
          </xdr:nvSpPr>
          <xdr:spPr>
            <a:xfrm>
              <a:off x="1107619" y="4743451"/>
              <a:ext cx="266701" cy="266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MX" sz="1100" i="1">
                        <a:latin typeface="Cambria Math"/>
                        <a:ea typeface="Cambria Math"/>
                      </a:rPr>
                      <m:t>𝛾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11" name="10 CuadroTexto"/>
            <xdr:cNvSpPr txBox="1"/>
          </xdr:nvSpPr>
          <xdr:spPr>
            <a:xfrm>
              <a:off x="1107619" y="4743451"/>
              <a:ext cx="266701" cy="266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es-MX" sz="1100" i="0">
                  <a:latin typeface="Cambria Math"/>
                  <a:ea typeface="Cambria Math"/>
                </a:rPr>
                <a:t>𝛾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6</xdr:col>
      <xdr:colOff>88446</xdr:colOff>
      <xdr:row>31</xdr:row>
      <xdr:rowOff>109537</xdr:rowOff>
    </xdr:from>
    <xdr:ext cx="238125" cy="264560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12" name="11 CuadroTexto"/>
            <xdr:cNvSpPr txBox="1"/>
          </xdr:nvSpPr>
          <xdr:spPr>
            <a:xfrm>
              <a:off x="1107621" y="5024437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/>
                      </a:rPr>
                      <m:t>𝑥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12" name="11 CuadroTexto"/>
            <xdr:cNvSpPr txBox="1"/>
          </xdr:nvSpPr>
          <xdr:spPr>
            <a:xfrm>
              <a:off x="1107621" y="5024437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s-ES" sz="1100" b="0" i="0">
                  <a:latin typeface="Cambria Math"/>
                </a:rPr>
                <a:t>𝑥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133350</xdr:colOff>
      <xdr:row>31</xdr:row>
      <xdr:rowOff>47625</xdr:rowOff>
    </xdr:from>
    <xdr:to>
      <xdr:col>37</xdr:col>
      <xdr:colOff>123825</xdr:colOff>
      <xdr:row>35</xdr:row>
      <xdr:rowOff>85725</xdr:rowOff>
    </xdr:to>
    <xdr:sp macro="" textlink="">
      <xdr:nvSpPr>
        <xdr:cNvPr id="16" name="15 Rectángulo redondeado"/>
        <xdr:cNvSpPr/>
      </xdr:nvSpPr>
      <xdr:spPr>
        <a:xfrm>
          <a:off x="2895600" y="4962525"/>
          <a:ext cx="2562225" cy="685800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38101</xdr:colOff>
      <xdr:row>3</xdr:row>
      <xdr:rowOff>104775</xdr:rowOff>
    </xdr:from>
    <xdr:to>
      <xdr:col>42</xdr:col>
      <xdr:colOff>114300</xdr:colOff>
      <xdr:row>25</xdr:row>
      <xdr:rowOff>76200</xdr:rowOff>
    </xdr:to>
    <xdr:graphicFrame macro="">
      <xdr:nvGraphicFramePr>
        <xdr:cNvPr id="30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1</xdr:row>
      <xdr:rowOff>0</xdr:rowOff>
    </xdr:from>
    <xdr:to>
      <xdr:col>42</xdr:col>
      <xdr:colOff>104775</xdr:colOff>
      <xdr:row>3</xdr:row>
      <xdr:rowOff>50800</xdr:rowOff>
    </xdr:to>
    <xdr:sp macro="" textlink="">
      <xdr:nvSpPr>
        <xdr:cNvPr id="6" name="5 CuadroTexto"/>
        <xdr:cNvSpPr txBox="1"/>
      </xdr:nvSpPr>
      <xdr:spPr>
        <a:xfrm>
          <a:off x="228600" y="57150"/>
          <a:ext cx="5924550" cy="3746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400" b="1">
              <a:latin typeface="+mn-lt"/>
            </a:rPr>
            <a:t>FUNCIÓN</a:t>
          </a:r>
          <a:r>
            <a:rPr lang="es-MX" sz="2400" b="1" baseline="0">
              <a:latin typeface="+mn-lt"/>
            </a:rPr>
            <a:t> DE VALOR CAMPANA</a:t>
          </a:r>
          <a:endParaRPr lang="es-MX" sz="2400" b="1">
            <a:latin typeface="+mn-lt"/>
          </a:endParaRPr>
        </a:p>
      </xdr:txBody>
    </xdr:sp>
    <xdr:clientData/>
  </xdr:twoCellAnchor>
  <xdr:twoCellAnchor>
    <xdr:from>
      <xdr:col>1</xdr:col>
      <xdr:colOff>9524</xdr:colOff>
      <xdr:row>26</xdr:row>
      <xdr:rowOff>19050</xdr:rowOff>
    </xdr:from>
    <xdr:to>
      <xdr:col>25</xdr:col>
      <xdr:colOff>9525</xdr:colOff>
      <xdr:row>29</xdr:row>
      <xdr:rowOff>142875</xdr:rowOff>
    </xdr:to>
    <xdr:sp macro="" textlink="">
      <xdr:nvSpPr>
        <xdr:cNvPr id="10" name="9 CuadroTexto"/>
        <xdr:cNvSpPr txBox="1"/>
      </xdr:nvSpPr>
      <xdr:spPr>
        <a:xfrm>
          <a:off x="200024" y="4124325"/>
          <a:ext cx="3429001" cy="6096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>
              <a:latin typeface="+mn-lt"/>
            </a:rPr>
            <a:t>SELECCIONE LOS VALORES QUE MEJOR DESCRIBAN EL</a:t>
          </a:r>
          <a:r>
            <a:rPr lang="es-MX" sz="1600" baseline="0">
              <a:latin typeface="+mn-lt"/>
            </a:rPr>
            <a:t> ATRIBUTO A EVALUAR</a:t>
          </a:r>
        </a:p>
      </xdr:txBody>
    </xdr:sp>
    <xdr:clientData/>
  </xdr:twoCellAnchor>
  <xdr:twoCellAnchor>
    <xdr:from>
      <xdr:col>1</xdr:col>
      <xdr:colOff>22225</xdr:colOff>
      <xdr:row>32</xdr:row>
      <xdr:rowOff>0</xdr:rowOff>
    </xdr:from>
    <xdr:to>
      <xdr:col>5</xdr:col>
      <xdr:colOff>123825</xdr:colOff>
      <xdr:row>33</xdr:row>
      <xdr:rowOff>152400</xdr:rowOff>
    </xdr:to>
    <xdr:sp macro="" textlink="">
      <xdr:nvSpPr>
        <xdr:cNvPr id="7" name="6 CuadroTexto">
          <a:hlinkClick xmlns:r="http://schemas.openxmlformats.org/officeDocument/2006/relationships" r:id="rId2"/>
        </xdr:cNvPr>
        <xdr:cNvSpPr txBox="1"/>
      </xdr:nvSpPr>
      <xdr:spPr>
        <a:xfrm>
          <a:off x="212725" y="5076825"/>
          <a:ext cx="673100" cy="31432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INICIO</a:t>
          </a:r>
        </a:p>
      </xdr:txBody>
    </xdr:sp>
    <xdr:clientData/>
  </xdr:twoCellAnchor>
  <xdr:oneCellAnchor>
    <xdr:from>
      <xdr:col>7</xdr:col>
      <xdr:colOff>31296</xdr:colOff>
      <xdr:row>29</xdr:row>
      <xdr:rowOff>128587</xdr:rowOff>
    </xdr:from>
    <xdr:ext cx="238125" cy="264560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11" name="10 CuadroTexto"/>
            <xdr:cNvSpPr txBox="1"/>
          </xdr:nvSpPr>
          <xdr:spPr>
            <a:xfrm>
              <a:off x="1079046" y="4719637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/>
                      </a:rPr>
                      <m:t>𝑥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11" name="10 CuadroTexto"/>
            <xdr:cNvSpPr txBox="1"/>
          </xdr:nvSpPr>
          <xdr:spPr>
            <a:xfrm>
              <a:off x="1079046" y="4719637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s-ES" sz="1100" b="0" i="0">
                  <a:latin typeface="Cambria Math"/>
                </a:rPr>
                <a:t>𝑥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</xdr:col>
      <xdr:colOff>28575</xdr:colOff>
      <xdr:row>35</xdr:row>
      <xdr:rowOff>142875</xdr:rowOff>
    </xdr:from>
    <xdr:to>
      <xdr:col>42</xdr:col>
      <xdr:colOff>123825</xdr:colOff>
      <xdr:row>38</xdr:row>
      <xdr:rowOff>28576</xdr:rowOff>
    </xdr:to>
    <xdr:sp macro="" textlink="">
      <xdr:nvSpPr>
        <xdr:cNvPr id="15" name="14 Rectángulo redondeado"/>
        <xdr:cNvSpPr/>
      </xdr:nvSpPr>
      <xdr:spPr>
        <a:xfrm>
          <a:off x="219075" y="5705475"/>
          <a:ext cx="5953125" cy="371476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95250</xdr:colOff>
      <xdr:row>31</xdr:row>
      <xdr:rowOff>28575</xdr:rowOff>
    </xdr:from>
    <xdr:to>
      <xdr:col>37</xdr:col>
      <xdr:colOff>114300</xdr:colOff>
      <xdr:row>35</xdr:row>
      <xdr:rowOff>104774</xdr:rowOff>
    </xdr:to>
    <xdr:sp macro="" textlink="">
      <xdr:nvSpPr>
        <xdr:cNvPr id="34" name="33 Rectángulo redondeado"/>
        <xdr:cNvSpPr/>
      </xdr:nvSpPr>
      <xdr:spPr>
        <a:xfrm>
          <a:off x="2857500" y="4905375"/>
          <a:ext cx="2590800" cy="723899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7711</xdr:colOff>
      <xdr:row>3</xdr:row>
      <xdr:rowOff>144235</xdr:rowOff>
    </xdr:from>
    <xdr:to>
      <xdr:col>42</xdr:col>
      <xdr:colOff>85725</xdr:colOff>
      <xdr:row>25</xdr:row>
      <xdr:rowOff>76200</xdr:rowOff>
    </xdr:to>
    <xdr:graphicFrame macro="">
      <xdr:nvGraphicFramePr>
        <xdr:cNvPr id="820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0</xdr:row>
      <xdr:rowOff>53975</xdr:rowOff>
    </xdr:from>
    <xdr:to>
      <xdr:col>42</xdr:col>
      <xdr:colOff>114300</xdr:colOff>
      <xdr:row>3</xdr:row>
      <xdr:rowOff>76200</xdr:rowOff>
    </xdr:to>
    <xdr:sp macro="" textlink="">
      <xdr:nvSpPr>
        <xdr:cNvPr id="3" name="2 CuadroTexto"/>
        <xdr:cNvSpPr txBox="1"/>
      </xdr:nvSpPr>
      <xdr:spPr>
        <a:xfrm>
          <a:off x="228600" y="53975"/>
          <a:ext cx="5934075" cy="384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400" b="1">
              <a:latin typeface="+mn-lt"/>
            </a:rPr>
            <a:t>FUNCIÓN</a:t>
          </a:r>
          <a:r>
            <a:rPr lang="es-MX" sz="2400" b="1" baseline="0">
              <a:latin typeface="+mn-lt"/>
            </a:rPr>
            <a:t> DE VALOR CAMPANA INVERSA</a:t>
          </a:r>
          <a:endParaRPr lang="es-MX" sz="2400" b="1">
            <a:latin typeface="+mn-lt"/>
          </a:endParaRPr>
        </a:p>
      </xdr:txBody>
    </xdr:sp>
    <xdr:clientData/>
  </xdr:twoCellAnchor>
  <xdr:twoCellAnchor>
    <xdr:from>
      <xdr:col>1</xdr:col>
      <xdr:colOff>19051</xdr:colOff>
      <xdr:row>26</xdr:row>
      <xdr:rowOff>28576</xdr:rowOff>
    </xdr:from>
    <xdr:to>
      <xdr:col>24</xdr:col>
      <xdr:colOff>133350</xdr:colOff>
      <xdr:row>29</xdr:row>
      <xdr:rowOff>133351</xdr:rowOff>
    </xdr:to>
    <xdr:sp macro="" textlink="">
      <xdr:nvSpPr>
        <xdr:cNvPr id="7" name="6 CuadroTexto"/>
        <xdr:cNvSpPr txBox="1"/>
      </xdr:nvSpPr>
      <xdr:spPr>
        <a:xfrm>
          <a:off x="209551" y="4095751"/>
          <a:ext cx="3400424" cy="59055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/>
            <a:t>SELECCIONE LOS VALORES QUE MEJOR DESCRIBAN EL</a:t>
          </a:r>
          <a:r>
            <a:rPr lang="es-MX" sz="1600" baseline="0"/>
            <a:t> ATRIBUTO A EVALUAR</a:t>
          </a:r>
        </a:p>
      </xdr:txBody>
    </xdr:sp>
    <xdr:clientData/>
  </xdr:twoCellAnchor>
  <xdr:twoCellAnchor>
    <xdr:from>
      <xdr:col>1</xdr:col>
      <xdr:colOff>19049</xdr:colOff>
      <xdr:row>32</xdr:row>
      <xdr:rowOff>19050</xdr:rowOff>
    </xdr:from>
    <xdr:to>
      <xdr:col>5</xdr:col>
      <xdr:colOff>114300</xdr:colOff>
      <xdr:row>34</xdr:row>
      <xdr:rowOff>9525</xdr:rowOff>
    </xdr:to>
    <xdr:sp macro="" textlink="">
      <xdr:nvSpPr>
        <xdr:cNvPr id="25" name="24 CuadroTexto">
          <a:hlinkClick xmlns:r="http://schemas.openxmlformats.org/officeDocument/2006/relationships" r:id="rId2"/>
        </xdr:cNvPr>
        <xdr:cNvSpPr txBox="1"/>
      </xdr:nvSpPr>
      <xdr:spPr>
        <a:xfrm>
          <a:off x="209549" y="5057775"/>
          <a:ext cx="666751" cy="31432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INICIO</a:t>
          </a:r>
        </a:p>
      </xdr:txBody>
    </xdr:sp>
    <xdr:clientData/>
  </xdr:twoCellAnchor>
  <xdr:oneCellAnchor>
    <xdr:from>
      <xdr:col>7</xdr:col>
      <xdr:colOff>31296</xdr:colOff>
      <xdr:row>30</xdr:row>
      <xdr:rowOff>109537</xdr:rowOff>
    </xdr:from>
    <xdr:ext cx="238125" cy="264560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26" name="25 CuadroTexto"/>
            <xdr:cNvSpPr txBox="1"/>
          </xdr:nvSpPr>
          <xdr:spPr>
            <a:xfrm>
              <a:off x="1079046" y="4824412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/>
                      </a:rPr>
                      <m:t>𝑥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26" name="25 CuadroTexto"/>
            <xdr:cNvSpPr txBox="1"/>
          </xdr:nvSpPr>
          <xdr:spPr>
            <a:xfrm>
              <a:off x="1079046" y="4824412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s-ES" sz="1100" b="0" i="0">
                  <a:latin typeface="Cambria Math"/>
                </a:rPr>
                <a:t>𝑥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</xdr:col>
      <xdr:colOff>28575</xdr:colOff>
      <xdr:row>36</xdr:row>
      <xdr:rowOff>0</xdr:rowOff>
    </xdr:from>
    <xdr:to>
      <xdr:col>42</xdr:col>
      <xdr:colOff>104776</xdr:colOff>
      <xdr:row>38</xdr:row>
      <xdr:rowOff>28576</xdr:rowOff>
    </xdr:to>
    <xdr:sp macro="" textlink="">
      <xdr:nvSpPr>
        <xdr:cNvPr id="33" name="32 Rectángulo redondeado"/>
        <xdr:cNvSpPr/>
      </xdr:nvSpPr>
      <xdr:spPr>
        <a:xfrm>
          <a:off x="219075" y="5724525"/>
          <a:ext cx="5934076" cy="352426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85725</xdr:colOff>
      <xdr:row>31</xdr:row>
      <xdr:rowOff>0</xdr:rowOff>
    </xdr:from>
    <xdr:to>
      <xdr:col>38</xdr:col>
      <xdr:colOff>9526</xdr:colOff>
      <xdr:row>35</xdr:row>
      <xdr:rowOff>47624</xdr:rowOff>
    </xdr:to>
    <xdr:sp macro="" textlink="">
      <xdr:nvSpPr>
        <xdr:cNvPr id="16" name="15 Rectángulo redondeado"/>
        <xdr:cNvSpPr/>
      </xdr:nvSpPr>
      <xdr:spPr>
        <a:xfrm>
          <a:off x="2990850" y="4829175"/>
          <a:ext cx="2495551" cy="695324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183090</xdr:colOff>
      <xdr:row>3</xdr:row>
      <xdr:rowOff>138642</xdr:rowOff>
    </xdr:from>
    <xdr:to>
      <xdr:col>43</xdr:col>
      <xdr:colOff>25399</xdr:colOff>
      <xdr:row>25</xdr:row>
      <xdr:rowOff>75142</xdr:rowOff>
    </xdr:to>
    <xdr:graphicFrame macro="">
      <xdr:nvGraphicFramePr>
        <xdr:cNvPr id="10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0</xdr:row>
      <xdr:rowOff>127000</xdr:rowOff>
    </xdr:from>
    <xdr:to>
      <xdr:col>42</xdr:col>
      <xdr:colOff>114300</xdr:colOff>
      <xdr:row>3</xdr:row>
      <xdr:rowOff>63500</xdr:rowOff>
    </xdr:to>
    <xdr:sp macro="" textlink="">
      <xdr:nvSpPr>
        <xdr:cNvPr id="3" name="2 CuadroTexto"/>
        <xdr:cNvSpPr txBox="1"/>
      </xdr:nvSpPr>
      <xdr:spPr>
        <a:xfrm>
          <a:off x="219075" y="127000"/>
          <a:ext cx="5943600" cy="4222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400" b="1">
              <a:latin typeface="+mn-lt"/>
            </a:rPr>
            <a:t>FUNCIÓN</a:t>
          </a:r>
          <a:r>
            <a:rPr lang="es-MX" sz="2400" b="1" baseline="0">
              <a:latin typeface="+mn-lt"/>
            </a:rPr>
            <a:t> DE VALOR DECRECIENTE CONVEXA</a:t>
          </a:r>
          <a:endParaRPr lang="es-MX" sz="2400" b="1">
            <a:latin typeface="+mn-lt"/>
          </a:endParaRPr>
        </a:p>
      </xdr:txBody>
    </xdr:sp>
    <xdr:clientData/>
  </xdr:twoCellAnchor>
  <xdr:twoCellAnchor>
    <xdr:from>
      <xdr:col>1</xdr:col>
      <xdr:colOff>19050</xdr:colOff>
      <xdr:row>26</xdr:row>
      <xdr:rowOff>0</xdr:rowOff>
    </xdr:from>
    <xdr:to>
      <xdr:col>25</xdr:col>
      <xdr:colOff>19050</xdr:colOff>
      <xdr:row>29</xdr:row>
      <xdr:rowOff>133350</xdr:rowOff>
    </xdr:to>
    <xdr:sp macro="" textlink="">
      <xdr:nvSpPr>
        <xdr:cNvPr id="7" name="6 CuadroTexto"/>
        <xdr:cNvSpPr txBox="1"/>
      </xdr:nvSpPr>
      <xdr:spPr>
        <a:xfrm>
          <a:off x="209550" y="4105275"/>
          <a:ext cx="3429000" cy="61912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/>
            <a:t>SELECCIONE LOS VALORES QUE MEJOR DESCRIBAN EL</a:t>
          </a:r>
          <a:r>
            <a:rPr lang="es-MX" sz="1600" baseline="0"/>
            <a:t> ATRIBUTO A EVALUAR</a:t>
          </a:r>
        </a:p>
      </xdr:txBody>
    </xdr:sp>
    <xdr:clientData/>
  </xdr:twoCellAnchor>
  <xdr:twoCellAnchor>
    <xdr:from>
      <xdr:col>1</xdr:col>
      <xdr:colOff>28576</xdr:colOff>
      <xdr:row>32</xdr:row>
      <xdr:rowOff>9526</xdr:rowOff>
    </xdr:from>
    <xdr:to>
      <xdr:col>5</xdr:col>
      <xdr:colOff>104776</xdr:colOff>
      <xdr:row>33</xdr:row>
      <xdr:rowOff>142875</xdr:rowOff>
    </xdr:to>
    <xdr:sp macro="" textlink="">
      <xdr:nvSpPr>
        <xdr:cNvPr id="8" name="7 CuadroTexto">
          <a:hlinkClick xmlns:r="http://schemas.openxmlformats.org/officeDocument/2006/relationships" r:id="rId2"/>
        </xdr:cNvPr>
        <xdr:cNvSpPr txBox="1"/>
      </xdr:nvSpPr>
      <xdr:spPr>
        <a:xfrm>
          <a:off x="219076" y="5086351"/>
          <a:ext cx="647700" cy="295274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INICIO</a:t>
          </a:r>
        </a:p>
      </xdr:txBody>
    </xdr:sp>
    <xdr:clientData/>
  </xdr:twoCellAnchor>
  <xdr:oneCellAnchor>
    <xdr:from>
      <xdr:col>7</xdr:col>
      <xdr:colOff>78921</xdr:colOff>
      <xdr:row>31</xdr:row>
      <xdr:rowOff>109537</xdr:rowOff>
    </xdr:from>
    <xdr:ext cx="238125" cy="264560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10" name="9 CuadroTexto"/>
            <xdr:cNvSpPr txBox="1"/>
          </xdr:nvSpPr>
          <xdr:spPr>
            <a:xfrm>
              <a:off x="1126671" y="5024437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/>
                      </a:rPr>
                      <m:t>𝑥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10" name="9 CuadroTexto"/>
            <xdr:cNvSpPr txBox="1"/>
          </xdr:nvSpPr>
          <xdr:spPr>
            <a:xfrm>
              <a:off x="1126671" y="5024437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s-ES" sz="1100" b="0" i="0">
                  <a:latin typeface="Cambria Math"/>
                </a:rPr>
                <a:t>𝑥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</xdr:col>
      <xdr:colOff>28575</xdr:colOff>
      <xdr:row>36</xdr:row>
      <xdr:rowOff>9524</xdr:rowOff>
    </xdr:from>
    <xdr:to>
      <xdr:col>42</xdr:col>
      <xdr:colOff>114300</xdr:colOff>
      <xdr:row>38</xdr:row>
      <xdr:rowOff>28575</xdr:rowOff>
    </xdr:to>
    <xdr:sp macro="" textlink="">
      <xdr:nvSpPr>
        <xdr:cNvPr id="15" name="14 Rectángulo redondeado"/>
        <xdr:cNvSpPr/>
      </xdr:nvSpPr>
      <xdr:spPr>
        <a:xfrm>
          <a:off x="219075" y="5648324"/>
          <a:ext cx="5943600" cy="342901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47625</xdr:colOff>
      <xdr:row>31</xdr:row>
      <xdr:rowOff>19051</xdr:rowOff>
    </xdr:from>
    <xdr:to>
      <xdr:col>37</xdr:col>
      <xdr:colOff>57149</xdr:colOff>
      <xdr:row>35</xdr:row>
      <xdr:rowOff>9525</xdr:rowOff>
    </xdr:to>
    <xdr:sp macro="" textlink="">
      <xdr:nvSpPr>
        <xdr:cNvPr id="53" name="52 Rectángulo redondeado"/>
        <xdr:cNvSpPr/>
      </xdr:nvSpPr>
      <xdr:spPr>
        <a:xfrm>
          <a:off x="2952750" y="4848226"/>
          <a:ext cx="2438399" cy="638174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25400</xdr:colOff>
      <xdr:row>3</xdr:row>
      <xdr:rowOff>133351</xdr:rowOff>
    </xdr:from>
    <xdr:to>
      <xdr:col>42</xdr:col>
      <xdr:colOff>104775</xdr:colOff>
      <xdr:row>25</xdr:row>
      <xdr:rowOff>104775</xdr:rowOff>
    </xdr:to>
    <xdr:graphicFrame macro="">
      <xdr:nvGraphicFramePr>
        <xdr:cNvPr id="717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25400</xdr:colOff>
      <xdr:row>0</xdr:row>
      <xdr:rowOff>127000</xdr:rowOff>
    </xdr:from>
    <xdr:to>
      <xdr:col>42</xdr:col>
      <xdr:colOff>104775</xdr:colOff>
      <xdr:row>3</xdr:row>
      <xdr:rowOff>63500</xdr:rowOff>
    </xdr:to>
    <xdr:sp macro="" textlink="">
      <xdr:nvSpPr>
        <xdr:cNvPr id="3" name="2 CuadroTexto"/>
        <xdr:cNvSpPr txBox="1"/>
      </xdr:nvSpPr>
      <xdr:spPr>
        <a:xfrm>
          <a:off x="215900" y="127000"/>
          <a:ext cx="5937250" cy="4222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400" b="1">
              <a:latin typeface="+mn-lt"/>
            </a:rPr>
            <a:t>FUNCIÓN</a:t>
          </a:r>
          <a:r>
            <a:rPr lang="es-MX" sz="2400" b="1" baseline="0">
              <a:latin typeface="+mn-lt"/>
            </a:rPr>
            <a:t> DE VALOR DECRECIENTE CÓNCAVA</a:t>
          </a:r>
          <a:endParaRPr lang="es-MX" sz="2400" b="1">
            <a:latin typeface="+mn-lt"/>
          </a:endParaRPr>
        </a:p>
      </xdr:txBody>
    </xdr:sp>
    <xdr:clientData/>
  </xdr:twoCellAnchor>
  <xdr:twoCellAnchor>
    <xdr:from>
      <xdr:col>0</xdr:col>
      <xdr:colOff>190499</xdr:colOff>
      <xdr:row>26</xdr:row>
      <xdr:rowOff>19050</xdr:rowOff>
    </xdr:from>
    <xdr:to>
      <xdr:col>24</xdr:col>
      <xdr:colOff>123825</xdr:colOff>
      <xdr:row>29</xdr:row>
      <xdr:rowOff>133350</xdr:rowOff>
    </xdr:to>
    <xdr:sp macro="" textlink="">
      <xdr:nvSpPr>
        <xdr:cNvPr id="7" name="6 CuadroTexto"/>
        <xdr:cNvSpPr txBox="1"/>
      </xdr:nvSpPr>
      <xdr:spPr>
        <a:xfrm>
          <a:off x="190499" y="4124325"/>
          <a:ext cx="3409951" cy="6000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/>
            <a:t>SELECCIONE LOS VALORES QUE MEJOR DESCRIBAN EL</a:t>
          </a:r>
          <a:r>
            <a:rPr lang="es-MX" sz="1600" baseline="0"/>
            <a:t> ATRIBUTO A EVALUAR</a:t>
          </a:r>
        </a:p>
      </xdr:txBody>
    </xdr:sp>
    <xdr:clientData/>
  </xdr:twoCellAnchor>
  <xdr:twoCellAnchor>
    <xdr:from>
      <xdr:col>1</xdr:col>
      <xdr:colOff>15875</xdr:colOff>
      <xdr:row>32</xdr:row>
      <xdr:rowOff>19051</xdr:rowOff>
    </xdr:from>
    <xdr:to>
      <xdr:col>5</xdr:col>
      <xdr:colOff>114300</xdr:colOff>
      <xdr:row>33</xdr:row>
      <xdr:rowOff>152400</xdr:rowOff>
    </xdr:to>
    <xdr:sp macro="" textlink="">
      <xdr:nvSpPr>
        <xdr:cNvPr id="45" name="44 CuadroTexto">
          <a:hlinkClick xmlns:r="http://schemas.openxmlformats.org/officeDocument/2006/relationships" r:id="rId2"/>
        </xdr:cNvPr>
        <xdr:cNvSpPr txBox="1"/>
      </xdr:nvSpPr>
      <xdr:spPr>
        <a:xfrm>
          <a:off x="206375" y="5095876"/>
          <a:ext cx="669925" cy="295274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INICIO</a:t>
          </a:r>
        </a:p>
      </xdr:txBody>
    </xdr:sp>
    <xdr:clientData/>
  </xdr:twoCellAnchor>
  <xdr:oneCellAnchor>
    <xdr:from>
      <xdr:col>6</xdr:col>
      <xdr:colOff>97969</xdr:colOff>
      <xdr:row>30</xdr:row>
      <xdr:rowOff>1</xdr:rowOff>
    </xdr:from>
    <xdr:ext cx="266701" cy="266699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46" name="45 CuadroTexto"/>
            <xdr:cNvSpPr txBox="1"/>
          </xdr:nvSpPr>
          <xdr:spPr>
            <a:xfrm>
              <a:off x="1002844" y="4752976"/>
              <a:ext cx="266701" cy="266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MX" sz="1100" i="1">
                        <a:latin typeface="Cambria Math"/>
                        <a:ea typeface="Cambria Math"/>
                      </a:rPr>
                      <m:t>𝛾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46" name="45 CuadroTexto"/>
            <xdr:cNvSpPr txBox="1"/>
          </xdr:nvSpPr>
          <xdr:spPr>
            <a:xfrm>
              <a:off x="1002844" y="4752976"/>
              <a:ext cx="266701" cy="266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es-MX" sz="1100" i="0">
                  <a:latin typeface="Cambria Math"/>
                  <a:ea typeface="Cambria Math"/>
                </a:rPr>
                <a:t>𝛾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6</xdr:col>
      <xdr:colOff>88446</xdr:colOff>
      <xdr:row>31</xdr:row>
      <xdr:rowOff>109537</xdr:rowOff>
    </xdr:from>
    <xdr:ext cx="238125" cy="264560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47" name="46 CuadroTexto"/>
            <xdr:cNvSpPr txBox="1"/>
          </xdr:nvSpPr>
          <xdr:spPr>
            <a:xfrm>
              <a:off x="993321" y="4938712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/>
                      </a:rPr>
                      <m:t>𝑥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47" name="46 CuadroTexto"/>
            <xdr:cNvSpPr txBox="1"/>
          </xdr:nvSpPr>
          <xdr:spPr>
            <a:xfrm>
              <a:off x="993321" y="4938712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s-ES" sz="1100" b="0" i="0">
                  <a:latin typeface="Cambria Math"/>
                </a:rPr>
                <a:t>𝑥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</xdr:col>
      <xdr:colOff>38100</xdr:colOff>
      <xdr:row>35</xdr:row>
      <xdr:rowOff>57150</xdr:rowOff>
    </xdr:from>
    <xdr:to>
      <xdr:col>42</xdr:col>
      <xdr:colOff>104775</xdr:colOff>
      <xdr:row>38</xdr:row>
      <xdr:rowOff>28576</xdr:rowOff>
    </xdr:to>
    <xdr:sp macro="" textlink="">
      <xdr:nvSpPr>
        <xdr:cNvPr id="50" name="49 Rectángulo redondeado"/>
        <xdr:cNvSpPr/>
      </xdr:nvSpPr>
      <xdr:spPr>
        <a:xfrm>
          <a:off x="228600" y="5534025"/>
          <a:ext cx="5924550" cy="371476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30162</xdr:colOff>
      <xdr:row>3</xdr:row>
      <xdr:rowOff>133351</xdr:rowOff>
    </xdr:from>
    <xdr:to>
      <xdr:col>42</xdr:col>
      <xdr:colOff>92868</xdr:colOff>
      <xdr:row>25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25400</xdr:colOff>
      <xdr:row>0</xdr:row>
      <xdr:rowOff>127000</xdr:rowOff>
    </xdr:from>
    <xdr:to>
      <xdr:col>42</xdr:col>
      <xdr:colOff>104775</xdr:colOff>
      <xdr:row>3</xdr:row>
      <xdr:rowOff>63500</xdr:rowOff>
    </xdr:to>
    <xdr:sp macro="" textlink="">
      <xdr:nvSpPr>
        <xdr:cNvPr id="3" name="2 CuadroTexto"/>
        <xdr:cNvSpPr txBox="1"/>
      </xdr:nvSpPr>
      <xdr:spPr>
        <a:xfrm>
          <a:off x="215900" y="60325"/>
          <a:ext cx="5937250" cy="384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400" b="1">
              <a:latin typeface="+mn-lt"/>
            </a:rPr>
            <a:t>FUNCIÓN</a:t>
          </a:r>
          <a:r>
            <a:rPr lang="es-MX" sz="2400" b="1" baseline="0">
              <a:latin typeface="+mn-lt"/>
            </a:rPr>
            <a:t> DE VALOR COSENO</a:t>
          </a:r>
          <a:endParaRPr lang="es-MX" sz="2400" b="1">
            <a:latin typeface="+mn-lt"/>
          </a:endParaRPr>
        </a:p>
      </xdr:txBody>
    </xdr:sp>
    <xdr:clientData/>
  </xdr:twoCellAnchor>
  <xdr:twoCellAnchor>
    <xdr:from>
      <xdr:col>0</xdr:col>
      <xdr:colOff>190499</xdr:colOff>
      <xdr:row>26</xdr:row>
      <xdr:rowOff>19050</xdr:rowOff>
    </xdr:from>
    <xdr:to>
      <xdr:col>24</xdr:col>
      <xdr:colOff>123825</xdr:colOff>
      <xdr:row>29</xdr:row>
      <xdr:rowOff>133350</xdr:rowOff>
    </xdr:to>
    <xdr:sp macro="" textlink="">
      <xdr:nvSpPr>
        <xdr:cNvPr id="4" name="3 CuadroTexto"/>
        <xdr:cNvSpPr txBox="1"/>
      </xdr:nvSpPr>
      <xdr:spPr>
        <a:xfrm>
          <a:off x="190499" y="4124325"/>
          <a:ext cx="3409951" cy="6000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/>
            <a:t>SELECCIONE LOS VALORES QUE MEJOR DESCRIBAN EL</a:t>
          </a:r>
          <a:r>
            <a:rPr lang="es-MX" sz="1600" baseline="0"/>
            <a:t> ATRIBUTO A EVALUAR</a:t>
          </a:r>
        </a:p>
      </xdr:txBody>
    </xdr:sp>
    <xdr:clientData/>
  </xdr:twoCellAnchor>
  <xdr:twoCellAnchor>
    <xdr:from>
      <xdr:col>1</xdr:col>
      <xdr:colOff>15875</xdr:colOff>
      <xdr:row>31</xdr:row>
      <xdr:rowOff>19051</xdr:rowOff>
    </xdr:from>
    <xdr:to>
      <xdr:col>5</xdr:col>
      <xdr:colOff>114300</xdr:colOff>
      <xdr:row>32</xdr:row>
      <xdr:rowOff>152400</xdr:rowOff>
    </xdr:to>
    <xdr:sp macro="" textlink="">
      <xdr:nvSpPr>
        <xdr:cNvPr id="6" name="5 CuadroTexto">
          <a:hlinkClick xmlns:r="http://schemas.openxmlformats.org/officeDocument/2006/relationships" r:id="rId2"/>
        </xdr:cNvPr>
        <xdr:cNvSpPr txBox="1"/>
      </xdr:nvSpPr>
      <xdr:spPr>
        <a:xfrm>
          <a:off x="206375" y="5010151"/>
          <a:ext cx="669925" cy="295274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INICIO</a:t>
          </a:r>
        </a:p>
      </xdr:txBody>
    </xdr:sp>
    <xdr:clientData/>
  </xdr:twoCellAnchor>
  <xdr:oneCellAnchor>
    <xdr:from>
      <xdr:col>6</xdr:col>
      <xdr:colOff>97969</xdr:colOff>
      <xdr:row>30</xdr:row>
      <xdr:rowOff>0</xdr:rowOff>
    </xdr:from>
    <xdr:ext cx="266701" cy="266699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7" name="6 CuadroTexto"/>
            <xdr:cNvSpPr txBox="1"/>
          </xdr:nvSpPr>
          <xdr:spPr>
            <a:xfrm>
              <a:off x="1002844" y="4976812"/>
              <a:ext cx="266701" cy="266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MX" sz="1100" i="1">
                        <a:latin typeface="Cambria Math"/>
                        <a:ea typeface="Cambria Math"/>
                      </a:rPr>
                      <m:t>𝛾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7" name="6 CuadroTexto"/>
            <xdr:cNvSpPr txBox="1"/>
          </xdr:nvSpPr>
          <xdr:spPr>
            <a:xfrm>
              <a:off x="1002844" y="4976812"/>
              <a:ext cx="266701" cy="266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es-MX" sz="1100" i="0">
                  <a:latin typeface="Cambria Math"/>
                  <a:ea typeface="Cambria Math"/>
                </a:rPr>
                <a:t>𝛾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6</xdr:col>
      <xdr:colOff>88446</xdr:colOff>
      <xdr:row>30</xdr:row>
      <xdr:rowOff>109537</xdr:rowOff>
    </xdr:from>
    <xdr:ext cx="238125" cy="264560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8" name="7 CuadroTexto"/>
            <xdr:cNvSpPr txBox="1"/>
          </xdr:nvSpPr>
          <xdr:spPr>
            <a:xfrm>
              <a:off x="993321" y="4938712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/>
                      </a:rPr>
                      <m:t>𝑥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8" name="7 CuadroTexto"/>
            <xdr:cNvSpPr txBox="1"/>
          </xdr:nvSpPr>
          <xdr:spPr>
            <a:xfrm>
              <a:off x="993321" y="4938712"/>
              <a:ext cx="2381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s-ES" sz="1100" b="0" i="0">
                  <a:latin typeface="Cambria Math"/>
                </a:rPr>
                <a:t>𝑥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</xdr:col>
      <xdr:colOff>38099</xdr:colOff>
      <xdr:row>34</xdr:row>
      <xdr:rowOff>57150</xdr:rowOff>
    </xdr:from>
    <xdr:to>
      <xdr:col>37</xdr:col>
      <xdr:colOff>47624</xdr:colOff>
      <xdr:row>37</xdr:row>
      <xdr:rowOff>28576</xdr:rowOff>
    </xdr:to>
    <xdr:sp macro="" textlink="">
      <xdr:nvSpPr>
        <xdr:cNvPr id="11" name="10 Rectángulo redondeado"/>
        <xdr:cNvSpPr/>
      </xdr:nvSpPr>
      <xdr:spPr>
        <a:xfrm>
          <a:off x="228599" y="5760244"/>
          <a:ext cx="5153025" cy="376238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17</xdr:col>
      <xdr:colOff>45243</xdr:colOff>
      <xdr:row>30</xdr:row>
      <xdr:rowOff>19051</xdr:rowOff>
    </xdr:from>
    <xdr:to>
      <xdr:col>34</xdr:col>
      <xdr:colOff>107156</xdr:colOff>
      <xdr:row>34</xdr:row>
      <xdr:rowOff>9525</xdr:rowOff>
    </xdr:to>
    <xdr:sp macro="" textlink="">
      <xdr:nvSpPr>
        <xdr:cNvPr id="13" name="12 Rectángulo redondeado"/>
        <xdr:cNvSpPr/>
      </xdr:nvSpPr>
      <xdr:spPr>
        <a:xfrm>
          <a:off x="2521743" y="4912520"/>
          <a:ext cx="2490788" cy="657224"/>
        </a:xfrm>
        <a:prstGeom prst="roundRect">
          <a:avLst/>
        </a:prstGeom>
        <a:solidFill>
          <a:schemeClr val="accent1">
            <a:alpha val="18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3.bin"/><Relationship Id="rId5" Type="http://schemas.openxmlformats.org/officeDocument/2006/relationships/oleObject" Target="../embeddings/oleObject2.bin"/><Relationship Id="rId10" Type="http://schemas.openxmlformats.org/officeDocument/2006/relationships/ctrlProp" Target="../ctrlProps/ctrlProp1.xml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6.bin"/><Relationship Id="rId5" Type="http://schemas.openxmlformats.org/officeDocument/2006/relationships/oleObject" Target="../embeddings/oleObject5.bin"/><Relationship Id="rId10" Type="http://schemas.openxmlformats.org/officeDocument/2006/relationships/ctrlProp" Target="../ctrlProps/ctrlProp2.xml"/><Relationship Id="rId4" Type="http://schemas.openxmlformats.org/officeDocument/2006/relationships/oleObject" Target="../embeddings/oleObject4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1.bin"/><Relationship Id="rId3" Type="http://schemas.openxmlformats.org/officeDocument/2006/relationships/vmlDrawing" Target="../drawings/vmlDrawing3.vml"/><Relationship Id="rId7" Type="http://schemas.openxmlformats.org/officeDocument/2006/relationships/oleObject" Target="../embeddings/oleObject10.bin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9.bin"/><Relationship Id="rId5" Type="http://schemas.openxmlformats.org/officeDocument/2006/relationships/oleObject" Target="../embeddings/oleObject8.bin"/><Relationship Id="rId4" Type="http://schemas.openxmlformats.org/officeDocument/2006/relationships/oleObject" Target="../embeddings/oleObject7.bin"/><Relationship Id="rId1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6.bin"/><Relationship Id="rId3" Type="http://schemas.openxmlformats.org/officeDocument/2006/relationships/vmlDrawing" Target="../drawings/vmlDrawing4.vml"/><Relationship Id="rId7" Type="http://schemas.openxmlformats.org/officeDocument/2006/relationships/oleObject" Target="../embeddings/oleObject15.bin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14.bin"/><Relationship Id="rId5" Type="http://schemas.openxmlformats.org/officeDocument/2006/relationships/oleObject" Target="../embeddings/oleObject13.bin"/><Relationship Id="rId4" Type="http://schemas.openxmlformats.org/officeDocument/2006/relationships/oleObject" Target="../embeddings/oleObject12.bin"/><Relationship Id="rId1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oleObject" Target="../embeddings/oleObject20.bin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19.bin"/><Relationship Id="rId5" Type="http://schemas.openxmlformats.org/officeDocument/2006/relationships/oleObject" Target="../embeddings/oleObject18.bin"/><Relationship Id="rId4" Type="http://schemas.openxmlformats.org/officeDocument/2006/relationships/oleObject" Target="../embeddings/oleObject1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23.bin"/><Relationship Id="rId5" Type="http://schemas.openxmlformats.org/officeDocument/2006/relationships/oleObject" Target="../embeddings/oleObject22.bin"/><Relationship Id="rId10" Type="http://schemas.openxmlformats.org/officeDocument/2006/relationships/ctrlProp" Target="../ctrlProps/ctrlProp6.xml"/><Relationship Id="rId4" Type="http://schemas.openxmlformats.org/officeDocument/2006/relationships/oleObject" Target="../embeddings/oleObject2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4.bin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oleObject" Target="../embeddings/oleObject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 enableFormatConditionsCalculation="0"/>
  <dimension ref="A1"/>
  <sheetViews>
    <sheetView showGridLines="0" showRowColHeaders="0" topLeftCell="A13" workbookViewId="0">
      <selection activeCell="C59" sqref="C59"/>
    </sheetView>
  </sheetViews>
  <sheetFormatPr defaultColWidth="11.42578125" defaultRowHeight="12.7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 enableFormatConditionsCalculation="0">
    <pageSetUpPr fitToPage="1"/>
  </sheetPr>
  <dimension ref="B1:BH55"/>
  <sheetViews>
    <sheetView showGridLines="0" showRowColHeaders="0" workbookViewId="0">
      <selection activeCell="BE20" sqref="BE20"/>
    </sheetView>
  </sheetViews>
  <sheetFormatPr defaultColWidth="9.140625" defaultRowHeight="12.75"/>
  <cols>
    <col min="1" max="1" width="2.85546875" style="5" customWidth="1"/>
    <col min="2" max="53" width="2.140625" style="5" customWidth="1"/>
    <col min="54" max="16384" width="9.140625" style="5"/>
  </cols>
  <sheetData>
    <row r="1" spans="3:36" ht="3.75" customHeight="1"/>
    <row r="5" spans="3:36">
      <c r="C5" s="57">
        <f>AM27</f>
        <v>5</v>
      </c>
      <c r="D5" s="57"/>
      <c r="E5" s="57"/>
      <c r="F5" s="57"/>
      <c r="G5" s="59">
        <f t="shared" ref="G5:G25" si="0">EXP($AF$6*C5)</f>
        <v>1.353140763740041</v>
      </c>
      <c r="H5" s="59"/>
      <c r="I5" s="59"/>
      <c r="J5" s="59"/>
      <c r="K5" s="59"/>
      <c r="L5" s="59"/>
      <c r="M5" s="59">
        <f t="shared" ref="M5:M25" si="1">(G5-MIN(G$5:G$25))/(MAX(G$5:G$25)-MIN(G$5:G$25))</f>
        <v>0</v>
      </c>
      <c r="N5" s="59"/>
      <c r="O5" s="59"/>
      <c r="P5" s="59"/>
      <c r="Q5" s="59"/>
      <c r="R5" s="59"/>
    </row>
    <row r="6" spans="3:36">
      <c r="C6" s="57">
        <f t="shared" ref="C6:C24" si="2">C5+$AF$13</f>
        <v>9.75</v>
      </c>
      <c r="D6" s="57"/>
      <c r="E6" s="57"/>
      <c r="F6" s="57"/>
      <c r="G6" s="59">
        <f t="shared" si="0"/>
        <v>1.8035110438989672</v>
      </c>
      <c r="H6" s="59"/>
      <c r="I6" s="59"/>
      <c r="J6" s="59"/>
      <c r="K6" s="59"/>
      <c r="L6" s="59"/>
      <c r="M6" s="59">
        <f t="shared" si="1"/>
        <v>1.0668417587539232E-3</v>
      </c>
      <c r="N6" s="59"/>
      <c r="O6" s="59"/>
      <c r="P6" s="59"/>
      <c r="Q6" s="59"/>
      <c r="R6" s="59"/>
      <c r="W6" s="61" t="s">
        <v>2</v>
      </c>
      <c r="X6" s="61"/>
      <c r="Y6" s="61"/>
      <c r="Z6" s="61"/>
      <c r="AA6" s="61"/>
      <c r="AB6" s="61"/>
      <c r="AC6" s="61"/>
      <c r="AD6" s="61"/>
      <c r="AE6" s="61"/>
      <c r="AF6" s="60">
        <f>(-LOG(LOG(1.1+0.88*(10-AM29))))/((LOG(AM28))^2)</f>
        <v>6.0485676403604964E-2</v>
      </c>
      <c r="AG6" s="60"/>
      <c r="AH6" s="60"/>
      <c r="AI6" s="60"/>
      <c r="AJ6" s="60"/>
    </row>
    <row r="7" spans="3:36">
      <c r="C7" s="57">
        <f t="shared" si="2"/>
        <v>14.5</v>
      </c>
      <c r="D7" s="57"/>
      <c r="E7" s="57"/>
      <c r="F7" s="57"/>
      <c r="G7" s="59">
        <f t="shared" si="0"/>
        <v>2.4037795421041848</v>
      </c>
      <c r="H7" s="59"/>
      <c r="I7" s="59"/>
      <c r="J7" s="59"/>
      <c r="K7" s="59"/>
      <c r="L7" s="59"/>
      <c r="M7" s="59">
        <f t="shared" si="1"/>
        <v>2.4887639604672554E-3</v>
      </c>
      <c r="N7" s="59"/>
      <c r="O7" s="59"/>
      <c r="P7" s="59"/>
      <c r="Q7" s="59"/>
      <c r="R7" s="59"/>
      <c r="W7" s="6"/>
    </row>
    <row r="8" spans="3:36">
      <c r="C8" s="57">
        <f t="shared" si="2"/>
        <v>19.25</v>
      </c>
      <c r="D8" s="57"/>
      <c r="E8" s="57"/>
      <c r="F8" s="57"/>
      <c r="G8" s="59">
        <f t="shared" si="0"/>
        <v>3.2038373740961115</v>
      </c>
      <c r="H8" s="59"/>
      <c r="I8" s="59"/>
      <c r="J8" s="59"/>
      <c r="K8" s="59"/>
      <c r="L8" s="59"/>
      <c r="M8" s="59">
        <f t="shared" si="1"/>
        <v>4.3839491940175761E-3</v>
      </c>
      <c r="N8" s="59"/>
      <c r="O8" s="59"/>
      <c r="P8" s="59"/>
      <c r="Q8" s="59"/>
      <c r="R8" s="59"/>
    </row>
    <row r="9" spans="3:36">
      <c r="C9" s="57">
        <f t="shared" si="2"/>
        <v>24</v>
      </c>
      <c r="D9" s="57"/>
      <c r="E9" s="57"/>
      <c r="F9" s="57"/>
      <c r="G9" s="59">
        <f t="shared" si="0"/>
        <v>4.2701810793637991</v>
      </c>
      <c r="H9" s="59"/>
      <c r="I9" s="59"/>
      <c r="J9" s="59"/>
      <c r="K9" s="59"/>
      <c r="L9" s="59"/>
      <c r="M9" s="59">
        <f t="shared" si="1"/>
        <v>6.9099151471051397E-3</v>
      </c>
      <c r="N9" s="59"/>
      <c r="O9" s="59"/>
      <c r="P9" s="59"/>
      <c r="Q9" s="59"/>
      <c r="R9" s="59"/>
    </row>
    <row r="10" spans="3:36">
      <c r="C10" s="57">
        <f t="shared" si="2"/>
        <v>28.75</v>
      </c>
      <c r="D10" s="57"/>
      <c r="E10" s="57"/>
      <c r="F10" s="57"/>
      <c r="G10" s="59">
        <f t="shared" si="0"/>
        <v>5.6914394588149184</v>
      </c>
      <c r="H10" s="59"/>
      <c r="I10" s="59"/>
      <c r="J10" s="59"/>
      <c r="K10" s="59"/>
      <c r="L10" s="59"/>
      <c r="M10" s="59">
        <f t="shared" si="1"/>
        <v>1.0276606636255639E-2</v>
      </c>
      <c r="N10" s="59"/>
      <c r="O10" s="59"/>
      <c r="P10" s="59"/>
      <c r="Q10" s="59"/>
      <c r="R10" s="59"/>
    </row>
    <row r="11" spans="3:36">
      <c r="C11" s="57">
        <f t="shared" si="2"/>
        <v>33.5</v>
      </c>
      <c r="D11" s="57"/>
      <c r="E11" s="57"/>
      <c r="F11" s="57"/>
      <c r="G11" s="59">
        <f t="shared" si="0"/>
        <v>7.5857399279614386</v>
      </c>
      <c r="H11" s="59"/>
      <c r="I11" s="59"/>
      <c r="J11" s="59"/>
      <c r="K11" s="59"/>
      <c r="L11" s="59"/>
      <c r="M11" s="59">
        <f t="shared" si="1"/>
        <v>1.4763845100124783E-2</v>
      </c>
      <c r="N11" s="59"/>
      <c r="O11" s="59"/>
      <c r="P11" s="59"/>
      <c r="Q11" s="59"/>
      <c r="R11" s="59"/>
    </row>
    <row r="12" spans="3:36">
      <c r="C12" s="57">
        <f t="shared" si="2"/>
        <v>38.25</v>
      </c>
      <c r="D12" s="57"/>
      <c r="E12" s="57"/>
      <c r="F12" s="57"/>
      <c r="G12" s="59">
        <f t="shared" si="0"/>
        <v>10.110526637605707</v>
      </c>
      <c r="H12" s="59"/>
      <c r="I12" s="59"/>
      <c r="J12" s="59"/>
      <c r="K12" s="59"/>
      <c r="L12" s="59"/>
      <c r="M12" s="59">
        <f t="shared" si="1"/>
        <v>2.0744585864912648E-2</v>
      </c>
      <c r="N12" s="59"/>
      <c r="O12" s="59"/>
      <c r="P12" s="59"/>
      <c r="Q12" s="59"/>
      <c r="R12" s="59"/>
    </row>
    <row r="13" spans="3:36">
      <c r="C13" s="57">
        <f t="shared" si="2"/>
        <v>43</v>
      </c>
      <c r="D13" s="57"/>
      <c r="E13" s="57"/>
      <c r="F13" s="57"/>
      <c r="G13" s="59">
        <f t="shared" si="0"/>
        <v>13.47564639184848</v>
      </c>
      <c r="H13" s="59"/>
      <c r="I13" s="59"/>
      <c r="J13" s="59"/>
      <c r="K13" s="59"/>
      <c r="L13" s="59"/>
      <c r="M13" s="59">
        <f t="shared" si="1"/>
        <v>2.8715916201734776E-2</v>
      </c>
      <c r="N13" s="59"/>
      <c r="O13" s="59"/>
      <c r="P13" s="59"/>
      <c r="Q13" s="59"/>
      <c r="R13" s="59"/>
      <c r="X13" s="60" t="s">
        <v>0</v>
      </c>
      <c r="Y13" s="60"/>
      <c r="Z13" s="60"/>
      <c r="AA13" s="60"/>
      <c r="AB13" s="60"/>
      <c r="AC13" s="60"/>
      <c r="AD13" s="60"/>
      <c r="AE13" s="60"/>
      <c r="AF13" s="54">
        <f>(AM28-AM27)/20</f>
        <v>4.75</v>
      </c>
      <c r="AG13" s="54"/>
      <c r="AH13" s="54"/>
    </row>
    <row r="14" spans="3:36" ht="12.75" customHeight="1">
      <c r="C14" s="57">
        <f t="shared" si="2"/>
        <v>47.75</v>
      </c>
      <c r="D14" s="57"/>
      <c r="E14" s="57"/>
      <c r="F14" s="57"/>
      <c r="G14" s="59">
        <f t="shared" si="0"/>
        <v>17.960789995123577</v>
      </c>
      <c r="H14" s="59"/>
      <c r="I14" s="59"/>
      <c r="J14" s="59"/>
      <c r="K14" s="59"/>
      <c r="L14" s="59"/>
      <c r="M14" s="59">
        <f t="shared" si="1"/>
        <v>3.9340370569135329E-2</v>
      </c>
      <c r="N14" s="59"/>
      <c r="O14" s="59"/>
      <c r="P14" s="59"/>
      <c r="Q14" s="59"/>
      <c r="R14" s="59"/>
      <c r="X14" s="62" t="s">
        <v>16</v>
      </c>
      <c r="Y14" s="62"/>
      <c r="Z14" s="62"/>
      <c r="AA14" s="62"/>
      <c r="AB14" s="62"/>
      <c r="AC14" s="62"/>
      <c r="AD14" s="62"/>
      <c r="AE14" s="62"/>
      <c r="AF14" s="62"/>
    </row>
    <row r="15" spans="3:36">
      <c r="C15" s="57">
        <f t="shared" si="2"/>
        <v>52.5</v>
      </c>
      <c r="D15" s="57"/>
      <c r="E15" s="57"/>
      <c r="F15" s="57"/>
      <c r="G15" s="59">
        <f t="shared" si="0"/>
        <v>23.93873865999247</v>
      </c>
      <c r="H15" s="59"/>
      <c r="I15" s="59"/>
      <c r="J15" s="59"/>
      <c r="K15" s="59"/>
      <c r="L15" s="59"/>
      <c r="M15" s="59">
        <f t="shared" si="1"/>
        <v>5.3500996943324372E-2</v>
      </c>
      <c r="N15" s="59"/>
      <c r="O15" s="59"/>
      <c r="P15" s="59"/>
      <c r="Q15" s="59"/>
      <c r="R15" s="59"/>
      <c r="X15" s="62"/>
      <c r="Y15" s="62"/>
      <c r="Z15" s="62"/>
      <c r="AA15" s="62"/>
      <c r="AB15" s="62"/>
      <c r="AC15" s="62"/>
      <c r="AD15" s="62"/>
      <c r="AE15" s="62"/>
      <c r="AF15" s="62"/>
    </row>
    <row r="16" spans="3:36">
      <c r="C16" s="57">
        <f t="shared" si="2"/>
        <v>57.25</v>
      </c>
      <c r="D16" s="57"/>
      <c r="E16" s="57"/>
      <c r="F16" s="57"/>
      <c r="G16" s="59">
        <f t="shared" si="0"/>
        <v>31.906347593118493</v>
      </c>
      <c r="H16" s="59"/>
      <c r="I16" s="59"/>
      <c r="J16" s="59"/>
      <c r="K16" s="59"/>
      <c r="L16" s="59"/>
      <c r="M16" s="59">
        <f t="shared" si="1"/>
        <v>7.2374751055785128E-2</v>
      </c>
      <c r="N16" s="59"/>
      <c r="O16" s="59"/>
      <c r="P16" s="59"/>
      <c r="Q16" s="59"/>
      <c r="R16" s="59"/>
      <c r="X16" s="62"/>
      <c r="Y16" s="62"/>
      <c r="Z16" s="62"/>
      <c r="AA16" s="62"/>
      <c r="AB16" s="62"/>
      <c r="AC16" s="62"/>
      <c r="AD16" s="62"/>
      <c r="AE16" s="62"/>
      <c r="AF16" s="62"/>
    </row>
    <row r="17" spans="3:60">
      <c r="C17" s="57">
        <f t="shared" si="2"/>
        <v>62</v>
      </c>
      <c r="D17" s="57"/>
      <c r="E17" s="57"/>
      <c r="F17" s="57"/>
      <c r="G17" s="59">
        <f t="shared" si="0"/>
        <v>42.525841949820531</v>
      </c>
      <c r="H17" s="59"/>
      <c r="I17" s="59"/>
      <c r="J17" s="59"/>
      <c r="K17" s="59"/>
      <c r="L17" s="59"/>
      <c r="M17" s="59">
        <f t="shared" si="1"/>
        <v>9.7530318675796562E-2</v>
      </c>
      <c r="N17" s="59"/>
      <c r="O17" s="59"/>
      <c r="P17" s="59"/>
      <c r="Q17" s="59"/>
      <c r="R17" s="59"/>
    </row>
    <row r="18" spans="3:60">
      <c r="C18" s="57">
        <f t="shared" si="2"/>
        <v>66.75</v>
      </c>
      <c r="D18" s="57"/>
      <c r="E18" s="57"/>
      <c r="F18" s="57"/>
      <c r="G18" s="59">
        <f t="shared" si="0"/>
        <v>56.679857456676061</v>
      </c>
      <c r="H18" s="59"/>
      <c r="I18" s="59"/>
      <c r="J18" s="59"/>
      <c r="K18" s="59"/>
      <c r="L18" s="59"/>
      <c r="M18" s="59">
        <f t="shared" si="1"/>
        <v>0.13105849640421049</v>
      </c>
      <c r="N18" s="59"/>
      <c r="O18" s="59"/>
      <c r="P18" s="59"/>
      <c r="Q18" s="59"/>
      <c r="R18" s="59"/>
    </row>
    <row r="19" spans="3:60">
      <c r="C19" s="57">
        <f t="shared" si="2"/>
        <v>71.5</v>
      </c>
      <c r="D19" s="57"/>
      <c r="E19" s="57"/>
      <c r="F19" s="57"/>
      <c r="G19" s="59">
        <f t="shared" si="0"/>
        <v>75.544800385137975</v>
      </c>
      <c r="H19" s="59"/>
      <c r="I19" s="59"/>
      <c r="J19" s="59"/>
      <c r="K19" s="59"/>
      <c r="L19" s="59"/>
      <c r="M19" s="59">
        <f t="shared" si="1"/>
        <v>0.17574596753461166</v>
      </c>
      <c r="N19" s="59"/>
      <c r="O19" s="59"/>
      <c r="P19" s="59"/>
      <c r="Q19" s="59"/>
      <c r="R19" s="59"/>
    </row>
    <row r="20" spans="3:60">
      <c r="C20" s="57">
        <f t="shared" si="2"/>
        <v>76.25</v>
      </c>
      <c r="D20" s="57"/>
      <c r="E20" s="57"/>
      <c r="F20" s="57"/>
      <c r="G20" s="59">
        <f t="shared" si="0"/>
        <v>100.68862416587002</v>
      </c>
      <c r="H20" s="59"/>
      <c r="I20" s="59"/>
      <c r="J20" s="59"/>
      <c r="K20" s="59"/>
      <c r="L20" s="59"/>
      <c r="M20" s="59">
        <f t="shared" si="1"/>
        <v>0.23530691630451961</v>
      </c>
      <c r="N20" s="59"/>
      <c r="O20" s="59"/>
      <c r="P20" s="59"/>
      <c r="Q20" s="59"/>
      <c r="R20" s="59"/>
    </row>
    <row r="21" spans="3:60">
      <c r="C21" s="57">
        <f t="shared" si="2"/>
        <v>81</v>
      </c>
      <c r="D21" s="57"/>
      <c r="E21" s="57"/>
      <c r="F21" s="57"/>
      <c r="G21" s="59">
        <f t="shared" si="0"/>
        <v>134.20114931444468</v>
      </c>
      <c r="H21" s="59"/>
      <c r="I21" s="59"/>
      <c r="J21" s="59"/>
      <c r="K21" s="59"/>
      <c r="L21" s="59"/>
      <c r="M21" s="59">
        <f t="shared" si="1"/>
        <v>0.31469173107776383</v>
      </c>
      <c r="N21" s="59"/>
      <c r="O21" s="59"/>
      <c r="P21" s="59"/>
      <c r="Q21" s="59"/>
      <c r="R21" s="59"/>
    </row>
    <row r="22" spans="3:60">
      <c r="C22" s="57">
        <f t="shared" si="2"/>
        <v>85.75</v>
      </c>
      <c r="D22" s="57"/>
      <c r="E22" s="57"/>
      <c r="F22" s="57"/>
      <c r="G22" s="59">
        <f t="shared" si="0"/>
        <v>178.86775816550127</v>
      </c>
      <c r="H22" s="59"/>
      <c r="I22" s="59"/>
      <c r="J22" s="59"/>
      <c r="K22" s="59"/>
      <c r="L22" s="59"/>
      <c r="M22" s="59">
        <f t="shared" si="1"/>
        <v>0.42049845421992882</v>
      </c>
      <c r="N22" s="59"/>
      <c r="O22" s="59"/>
      <c r="P22" s="59"/>
      <c r="Q22" s="59"/>
      <c r="R22" s="59"/>
    </row>
    <row r="23" spans="3:60">
      <c r="C23" s="57">
        <f t="shared" si="2"/>
        <v>90.5</v>
      </c>
      <c r="D23" s="57"/>
      <c r="E23" s="57"/>
      <c r="F23" s="57"/>
      <c r="G23" s="59">
        <f t="shared" si="0"/>
        <v>238.40090099517965</v>
      </c>
      <c r="H23" s="59"/>
      <c r="I23" s="59"/>
      <c r="J23" s="59"/>
      <c r="K23" s="59"/>
      <c r="L23" s="59"/>
      <c r="M23" s="59">
        <f t="shared" si="1"/>
        <v>0.56152117618584185</v>
      </c>
      <c r="N23" s="59"/>
      <c r="O23" s="59"/>
      <c r="P23" s="59"/>
      <c r="Q23" s="59"/>
      <c r="R23" s="59"/>
    </row>
    <row r="24" spans="3:60">
      <c r="C24" s="57">
        <f t="shared" si="2"/>
        <v>95.25</v>
      </c>
      <c r="D24" s="57"/>
      <c r="E24" s="57"/>
      <c r="F24" s="57"/>
      <c r="G24" s="59">
        <f t="shared" si="0"/>
        <v>317.74865508587413</v>
      </c>
      <c r="H24" s="59"/>
      <c r="I24" s="59"/>
      <c r="J24" s="59"/>
      <c r="K24" s="59"/>
      <c r="L24" s="59"/>
      <c r="M24" s="59">
        <f t="shared" si="1"/>
        <v>0.7494809534105259</v>
      </c>
      <c r="N24" s="59"/>
      <c r="O24" s="59"/>
      <c r="P24" s="59"/>
      <c r="Q24" s="59"/>
      <c r="R24" s="59"/>
      <c r="BA24" s="23"/>
      <c r="BB24" s="23"/>
      <c r="BC24" s="23"/>
      <c r="BD24" s="23"/>
      <c r="BE24" s="23"/>
      <c r="BF24" s="23"/>
      <c r="BG24" s="23"/>
      <c r="BH24" s="23"/>
    </row>
    <row r="25" spans="3:60">
      <c r="C25" s="57">
        <f>AM28</f>
        <v>100</v>
      </c>
      <c r="D25" s="57"/>
      <c r="E25" s="57"/>
      <c r="F25" s="57"/>
      <c r="G25" s="59">
        <f t="shared" si="0"/>
        <v>423.50598251691724</v>
      </c>
      <c r="H25" s="59"/>
      <c r="I25" s="59"/>
      <c r="J25" s="59"/>
      <c r="K25" s="59"/>
      <c r="L25" s="59"/>
      <c r="M25" s="59">
        <f t="shared" si="1"/>
        <v>1</v>
      </c>
      <c r="N25" s="59"/>
      <c r="O25" s="59"/>
      <c r="P25" s="59"/>
      <c r="Q25" s="59"/>
      <c r="R25" s="59"/>
      <c r="BA25" s="23"/>
      <c r="BB25" s="21"/>
      <c r="BC25" s="21"/>
      <c r="BD25" s="21"/>
      <c r="BE25" s="21"/>
      <c r="BF25" s="21"/>
      <c r="BG25" s="7"/>
      <c r="BH25" s="23"/>
    </row>
    <row r="26" spans="3:60"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</row>
    <row r="27" spans="3:60">
      <c r="AA27" s="55" t="s">
        <v>13</v>
      </c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4">
        <v>5</v>
      </c>
      <c r="AN27" s="54"/>
      <c r="AO27" s="54"/>
      <c r="AP27" s="54"/>
      <c r="AQ27" s="54"/>
      <c r="BA27" s="23"/>
      <c r="BB27" s="21"/>
      <c r="BC27" s="21"/>
      <c r="BD27" s="21"/>
      <c r="BE27" s="21"/>
      <c r="BF27" s="21"/>
      <c r="BG27" s="7"/>
      <c r="BH27" s="23"/>
    </row>
    <row r="28" spans="3:60">
      <c r="AA28" s="55" t="s">
        <v>14</v>
      </c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4">
        <v>100</v>
      </c>
      <c r="AN28" s="54"/>
      <c r="AO28" s="54"/>
      <c r="AP28" s="54"/>
      <c r="AQ28" s="54"/>
      <c r="BA28" s="23"/>
      <c r="BB28" s="21"/>
      <c r="BC28" s="21"/>
      <c r="BD28" s="21"/>
      <c r="BE28" s="21"/>
      <c r="BF28" s="21"/>
      <c r="BG28" s="7"/>
      <c r="BH28" s="23"/>
    </row>
    <row r="29" spans="3:60">
      <c r="AA29" s="55" t="s">
        <v>24</v>
      </c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4">
        <v>7</v>
      </c>
      <c r="AN29" s="54"/>
      <c r="AO29" s="54"/>
      <c r="AP29" s="54"/>
      <c r="AQ29" s="54"/>
      <c r="BA29" s="23"/>
      <c r="BB29" s="23"/>
      <c r="BC29" s="23"/>
      <c r="BD29" s="23"/>
      <c r="BE29" s="23"/>
      <c r="BF29" s="23"/>
      <c r="BG29" s="23"/>
      <c r="BH29" s="23"/>
    </row>
    <row r="30" spans="3:60">
      <c r="AA30" s="55" t="s">
        <v>9</v>
      </c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4" t="s">
        <v>21</v>
      </c>
      <c r="AN30" s="54"/>
      <c r="AO30" s="54"/>
      <c r="AP30" s="54"/>
      <c r="AQ30" s="54"/>
    </row>
    <row r="31" spans="3:60" ht="6" customHeight="1"/>
    <row r="32" spans="3:60" ht="12.75" customHeight="1">
      <c r="I32" s="13" t="s">
        <v>19</v>
      </c>
      <c r="J32" s="57">
        <f>VALUE(AF6)</f>
        <v>6.0485676403604964E-2</v>
      </c>
      <c r="K32" s="57"/>
      <c r="L32" s="57"/>
      <c r="M32" s="57"/>
      <c r="N32" s="57"/>
      <c r="O32" s="57"/>
      <c r="P32" s="57"/>
      <c r="Q32" s="57"/>
      <c r="R32" s="57"/>
      <c r="W32" s="56" t="s">
        <v>23</v>
      </c>
      <c r="X32" s="56"/>
      <c r="Y32" s="56"/>
      <c r="Z32" s="56"/>
      <c r="AA32" s="56"/>
      <c r="AB32" s="56"/>
      <c r="AC32" s="56"/>
    </row>
    <row r="33" spans="2:43">
      <c r="I33" s="13" t="s">
        <v>19</v>
      </c>
      <c r="J33" s="57" t="s">
        <v>20</v>
      </c>
      <c r="K33" s="57"/>
      <c r="L33" s="57"/>
      <c r="M33" s="57"/>
      <c r="N33" s="57"/>
      <c r="O33" s="57"/>
      <c r="P33" s="57"/>
      <c r="Q33" s="57"/>
      <c r="R33" s="57"/>
      <c r="W33" s="56"/>
      <c r="X33" s="56"/>
      <c r="Y33" s="56"/>
      <c r="Z33" s="56"/>
      <c r="AA33" s="56"/>
      <c r="AB33" s="56"/>
      <c r="AC33" s="56"/>
    </row>
    <row r="34" spans="2:43">
      <c r="D34" s="33"/>
      <c r="I34" s="46" t="s">
        <v>19</v>
      </c>
      <c r="J34" s="63">
        <f>MIN(G5:G25)</f>
        <v>1.353140763740041</v>
      </c>
      <c r="K34" s="63"/>
      <c r="L34" s="63"/>
      <c r="M34" s="63"/>
      <c r="N34" s="63"/>
      <c r="O34" s="63"/>
      <c r="P34" s="63"/>
      <c r="Q34" s="63"/>
      <c r="R34" s="63"/>
      <c r="W34" s="56"/>
      <c r="X34" s="56"/>
      <c r="Y34" s="56"/>
      <c r="Z34" s="56"/>
      <c r="AA34" s="56"/>
      <c r="AB34" s="56"/>
      <c r="AC34" s="56"/>
    </row>
    <row r="35" spans="2:43">
      <c r="D35" s="33"/>
      <c r="I35" s="46" t="s">
        <v>19</v>
      </c>
      <c r="J35" s="64">
        <f>MAX(G5:G25)</f>
        <v>423.50598251691724</v>
      </c>
      <c r="K35" s="64"/>
      <c r="L35" s="64"/>
      <c r="M35" s="64"/>
      <c r="N35" s="64"/>
      <c r="O35" s="64"/>
      <c r="P35" s="64"/>
      <c r="Q35" s="64"/>
      <c r="R35" s="64"/>
      <c r="W35" s="56"/>
      <c r="X35" s="56"/>
      <c r="Y35" s="56"/>
      <c r="Z35" s="56"/>
      <c r="AA35" s="56"/>
      <c r="AB35" s="56"/>
      <c r="AC35" s="56"/>
    </row>
    <row r="36" spans="2:43" ht="6" customHeight="1">
      <c r="D36" s="33"/>
      <c r="E36" s="48"/>
      <c r="F36" s="49"/>
      <c r="G36" s="49"/>
      <c r="H36" s="49"/>
      <c r="I36" s="33"/>
      <c r="J36" s="33"/>
      <c r="K36" s="33"/>
      <c r="L36" s="33"/>
    </row>
    <row r="37" spans="2:43">
      <c r="C37" s="57" t="s">
        <v>22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</row>
    <row r="38" spans="2:43">
      <c r="B38" s="58" t="str">
        <f>"funcion_de_valor= ((exp  ("&amp;VALUE(AF6)&amp;"* mapa_atributo))-("&amp;MIN(G5:G25)&amp;"))/(("&amp;MAX(G5:G25)&amp;")-("&amp;MIN(G5:G25)&amp;"))"</f>
        <v>funcion_de_valor= ((exp  (0.060485676403605* mapa_atributo))-(1.35314076374004))/((423.505982516917)-(1.35314076374004))</v>
      </c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</row>
    <row r="39" spans="2:43" ht="6" customHeight="1" thickBot="1"/>
    <row r="40" spans="2:43" ht="13.5" customHeight="1" thickBot="1">
      <c r="B40" s="65" t="s">
        <v>4</v>
      </c>
      <c r="C40" s="66"/>
      <c r="D40" s="66"/>
      <c r="E40" s="66"/>
      <c r="F40" s="66"/>
      <c r="G40" s="66"/>
      <c r="H40" s="66"/>
      <c r="I40" s="66"/>
      <c r="J40" s="66"/>
      <c r="K40" s="66"/>
      <c r="L40" s="67"/>
      <c r="M40" s="65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7"/>
    </row>
    <row r="41" spans="2:43" ht="13.5" customHeight="1" thickBot="1">
      <c r="B41" s="65" t="s">
        <v>10</v>
      </c>
      <c r="C41" s="66"/>
      <c r="D41" s="66"/>
      <c r="E41" s="66"/>
      <c r="F41" s="66"/>
      <c r="G41" s="66"/>
      <c r="H41" s="66"/>
      <c r="I41" s="66"/>
      <c r="J41" s="66"/>
      <c r="K41" s="66"/>
      <c r="L41" s="67"/>
      <c r="M41" s="65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7"/>
    </row>
    <row r="42" spans="2:43" ht="27" customHeight="1" thickBot="1">
      <c r="B42" s="65" t="s">
        <v>12</v>
      </c>
      <c r="C42" s="66"/>
      <c r="D42" s="66"/>
      <c r="E42" s="66"/>
      <c r="F42" s="66"/>
      <c r="G42" s="66"/>
      <c r="H42" s="66"/>
      <c r="I42" s="66"/>
      <c r="J42" s="66"/>
      <c r="K42" s="66"/>
      <c r="L42" s="67"/>
      <c r="M42" s="65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7"/>
    </row>
    <row r="43" spans="2:43" ht="13.5" customHeight="1" thickBot="1">
      <c r="B43" s="65" t="s">
        <v>5</v>
      </c>
      <c r="C43" s="66"/>
      <c r="D43" s="66"/>
      <c r="E43" s="66"/>
      <c r="F43" s="66"/>
      <c r="G43" s="66"/>
      <c r="H43" s="66"/>
      <c r="I43" s="66"/>
      <c r="J43" s="66"/>
      <c r="K43" s="66"/>
      <c r="L43" s="67"/>
      <c r="M43" s="65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7"/>
    </row>
    <row r="44" spans="2:43" ht="13.5" customHeight="1" thickBot="1">
      <c r="B44" s="65" t="s">
        <v>6</v>
      </c>
      <c r="C44" s="66"/>
      <c r="D44" s="66"/>
      <c r="E44" s="66"/>
      <c r="F44" s="66"/>
      <c r="G44" s="66"/>
      <c r="H44" s="66"/>
      <c r="I44" s="66"/>
      <c r="J44" s="66"/>
      <c r="K44" s="66"/>
      <c r="L44" s="67"/>
      <c r="M44" s="65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7"/>
    </row>
    <row r="45" spans="2:43" ht="12.75" customHeight="1" thickBot="1">
      <c r="B45" s="65" t="s">
        <v>7</v>
      </c>
      <c r="C45" s="66"/>
      <c r="D45" s="66"/>
      <c r="E45" s="66"/>
      <c r="F45" s="66"/>
      <c r="G45" s="66"/>
      <c r="H45" s="66"/>
      <c r="I45" s="66"/>
      <c r="J45" s="66"/>
      <c r="K45" s="66"/>
      <c r="L45" s="67"/>
      <c r="M45" s="68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70"/>
    </row>
    <row r="46" spans="2:43" ht="13.5" thickBot="1">
      <c r="B46" s="65"/>
      <c r="C46" s="66"/>
      <c r="D46" s="66"/>
      <c r="E46" s="66"/>
      <c r="F46" s="66"/>
      <c r="G46" s="66"/>
      <c r="H46" s="66"/>
      <c r="I46" s="66"/>
      <c r="J46" s="66"/>
      <c r="K46" s="66"/>
      <c r="L46" s="67"/>
      <c r="M46" s="71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3"/>
    </row>
    <row r="47" spans="2:43" ht="13.5" thickBot="1">
      <c r="B47" s="65"/>
      <c r="C47" s="66"/>
      <c r="D47" s="66"/>
      <c r="E47" s="66"/>
      <c r="F47" s="66"/>
      <c r="G47" s="66"/>
      <c r="H47" s="66"/>
      <c r="I47" s="66"/>
      <c r="J47" s="66"/>
      <c r="K47" s="66"/>
      <c r="L47" s="67"/>
      <c r="M47" s="71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3"/>
    </row>
    <row r="48" spans="2:43" ht="13.5" thickBot="1">
      <c r="B48" s="65"/>
      <c r="C48" s="66"/>
      <c r="D48" s="66"/>
      <c r="E48" s="66"/>
      <c r="F48" s="66"/>
      <c r="G48" s="66"/>
      <c r="H48" s="66"/>
      <c r="I48" s="66"/>
      <c r="J48" s="66"/>
      <c r="K48" s="66"/>
      <c r="L48" s="67"/>
      <c r="M48" s="71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3"/>
    </row>
    <row r="49" spans="2:43" ht="13.5" thickBot="1">
      <c r="B49" s="65"/>
      <c r="C49" s="66"/>
      <c r="D49" s="66"/>
      <c r="E49" s="66"/>
      <c r="F49" s="66"/>
      <c r="G49" s="66"/>
      <c r="H49" s="66"/>
      <c r="I49" s="66"/>
      <c r="J49" s="66"/>
      <c r="K49" s="66"/>
      <c r="L49" s="67"/>
      <c r="M49" s="71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3"/>
    </row>
    <row r="50" spans="2:43" ht="13.5" thickBot="1">
      <c r="B50" s="65"/>
      <c r="C50" s="66"/>
      <c r="D50" s="66"/>
      <c r="E50" s="66"/>
      <c r="F50" s="66"/>
      <c r="G50" s="66"/>
      <c r="H50" s="66"/>
      <c r="I50" s="66"/>
      <c r="J50" s="66"/>
      <c r="K50" s="66"/>
      <c r="L50" s="67"/>
      <c r="M50" s="71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3"/>
    </row>
    <row r="51" spans="2:43" ht="13.5" thickBot="1">
      <c r="B51" s="65"/>
      <c r="C51" s="66"/>
      <c r="D51" s="66"/>
      <c r="E51" s="66"/>
      <c r="F51" s="66"/>
      <c r="G51" s="66"/>
      <c r="H51" s="66"/>
      <c r="I51" s="66"/>
      <c r="J51" s="66"/>
      <c r="K51" s="66"/>
      <c r="L51" s="67"/>
      <c r="M51" s="71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3"/>
    </row>
    <row r="52" spans="2:43" ht="13.5" thickBot="1">
      <c r="B52" s="65"/>
      <c r="C52" s="66"/>
      <c r="D52" s="66"/>
      <c r="E52" s="66"/>
      <c r="F52" s="66"/>
      <c r="G52" s="66"/>
      <c r="H52" s="66"/>
      <c r="I52" s="66"/>
      <c r="J52" s="66"/>
      <c r="K52" s="66"/>
      <c r="L52" s="67"/>
      <c r="M52" s="71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3"/>
    </row>
    <row r="53" spans="2:43" ht="13.5" thickBot="1">
      <c r="B53" s="65"/>
      <c r="C53" s="66"/>
      <c r="D53" s="66"/>
      <c r="E53" s="66"/>
      <c r="F53" s="66"/>
      <c r="G53" s="66"/>
      <c r="H53" s="66"/>
      <c r="I53" s="66"/>
      <c r="J53" s="66"/>
      <c r="K53" s="66"/>
      <c r="L53" s="67"/>
      <c r="M53" s="74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6"/>
    </row>
    <row r="54" spans="2:43" ht="27" customHeight="1" thickBot="1">
      <c r="B54" s="65" t="s">
        <v>11</v>
      </c>
      <c r="C54" s="66"/>
      <c r="D54" s="66"/>
      <c r="E54" s="66"/>
      <c r="F54" s="66"/>
      <c r="G54" s="66"/>
      <c r="H54" s="66"/>
      <c r="I54" s="66"/>
      <c r="J54" s="66"/>
      <c r="K54" s="66"/>
      <c r="L54" s="67"/>
      <c r="M54" s="65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7"/>
    </row>
    <row r="55" spans="2:43" ht="13.5" customHeight="1" thickBot="1">
      <c r="B55" s="65" t="s">
        <v>8</v>
      </c>
      <c r="C55" s="66"/>
      <c r="D55" s="66"/>
      <c r="E55" s="66"/>
      <c r="F55" s="66"/>
      <c r="G55" s="66"/>
      <c r="H55" s="66"/>
      <c r="I55" s="66"/>
      <c r="J55" s="66"/>
      <c r="K55" s="66"/>
      <c r="L55" s="67"/>
      <c r="M55" s="65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7"/>
    </row>
  </sheetData>
  <mergeCells count="107">
    <mergeCell ref="M55:AQ55"/>
    <mergeCell ref="B40:L40"/>
    <mergeCell ref="B41:L41"/>
    <mergeCell ref="B42:L42"/>
    <mergeCell ref="B43:L43"/>
    <mergeCell ref="B44:L44"/>
    <mergeCell ref="B45:L53"/>
    <mergeCell ref="B54:L54"/>
    <mergeCell ref="B55:L55"/>
    <mergeCell ref="M40:AQ40"/>
    <mergeCell ref="M41:AQ41"/>
    <mergeCell ref="M42:AQ42"/>
    <mergeCell ref="M43:AQ43"/>
    <mergeCell ref="M44:AQ44"/>
    <mergeCell ref="M45:AQ45"/>
    <mergeCell ref="M46:AQ46"/>
    <mergeCell ref="M47:AQ47"/>
    <mergeCell ref="M48:AQ48"/>
    <mergeCell ref="M49:AQ49"/>
    <mergeCell ref="M50:AQ50"/>
    <mergeCell ref="M51:AQ51"/>
    <mergeCell ref="M52:AQ52"/>
    <mergeCell ref="M53:AQ53"/>
    <mergeCell ref="M54:AQ54"/>
    <mergeCell ref="J34:R34"/>
    <mergeCell ref="J35:R35"/>
    <mergeCell ref="M5:R5"/>
    <mergeCell ref="M6:R6"/>
    <mergeCell ref="M7:R7"/>
    <mergeCell ref="M8:R8"/>
    <mergeCell ref="M9:R9"/>
    <mergeCell ref="M10:R10"/>
    <mergeCell ref="M11:R11"/>
    <mergeCell ref="M12:R12"/>
    <mergeCell ref="M13:R13"/>
    <mergeCell ref="C5:F5"/>
    <mergeCell ref="C6:F6"/>
    <mergeCell ref="C7:F7"/>
    <mergeCell ref="C8:F8"/>
    <mergeCell ref="C9:F9"/>
    <mergeCell ref="C10:F10"/>
    <mergeCell ref="C11:F11"/>
    <mergeCell ref="C12:F12"/>
    <mergeCell ref="G23:L23"/>
    <mergeCell ref="G5:L5"/>
    <mergeCell ref="G6:L6"/>
    <mergeCell ref="G7:L7"/>
    <mergeCell ref="G8:L8"/>
    <mergeCell ref="G9:L9"/>
    <mergeCell ref="G10:L10"/>
    <mergeCell ref="G11:L11"/>
    <mergeCell ref="G12:L12"/>
    <mergeCell ref="G13:L13"/>
    <mergeCell ref="C13:F13"/>
    <mergeCell ref="C14:F14"/>
    <mergeCell ref="C15:F15"/>
    <mergeCell ref="C16:F16"/>
    <mergeCell ref="C17:F17"/>
    <mergeCell ref="C18:F18"/>
    <mergeCell ref="C19:F19"/>
    <mergeCell ref="C20:F20"/>
    <mergeCell ref="C21:F21"/>
    <mergeCell ref="AF6:AJ6"/>
    <mergeCell ref="W6:AE6"/>
    <mergeCell ref="X14:AF16"/>
    <mergeCell ref="X13:AE13"/>
    <mergeCell ref="AF13:AH13"/>
    <mergeCell ref="M18:R18"/>
    <mergeCell ref="G19:L19"/>
    <mergeCell ref="G20:L20"/>
    <mergeCell ref="G21:L21"/>
    <mergeCell ref="M19:R19"/>
    <mergeCell ref="M20:R20"/>
    <mergeCell ref="M21:R21"/>
    <mergeCell ref="G14:L14"/>
    <mergeCell ref="G15:L15"/>
    <mergeCell ref="G16:L16"/>
    <mergeCell ref="G17:L17"/>
    <mergeCell ref="G18:L18"/>
    <mergeCell ref="M14:R14"/>
    <mergeCell ref="M15:R15"/>
    <mergeCell ref="M16:R16"/>
    <mergeCell ref="M17:R17"/>
    <mergeCell ref="AM30:AQ30"/>
    <mergeCell ref="AA29:AL29"/>
    <mergeCell ref="AA30:AL30"/>
    <mergeCell ref="W32:AC35"/>
    <mergeCell ref="J33:R33"/>
    <mergeCell ref="B38:AQ38"/>
    <mergeCell ref="C37:AP37"/>
    <mergeCell ref="C22:F22"/>
    <mergeCell ref="C23:F23"/>
    <mergeCell ref="G22:L22"/>
    <mergeCell ref="C24:F24"/>
    <mergeCell ref="C25:F25"/>
    <mergeCell ref="G24:L24"/>
    <mergeCell ref="G25:L25"/>
    <mergeCell ref="M22:R22"/>
    <mergeCell ref="M23:R23"/>
    <mergeCell ref="M24:R24"/>
    <mergeCell ref="M25:R25"/>
    <mergeCell ref="AM29:AQ29"/>
    <mergeCell ref="AM28:AQ28"/>
    <mergeCell ref="AM27:AQ27"/>
    <mergeCell ref="AA27:AL27"/>
    <mergeCell ref="AA28:AL28"/>
    <mergeCell ref="J32:R32"/>
  </mergeCells>
  <phoneticPr fontId="1" type="noConversion"/>
  <pageMargins left="0.25" right="0.25" top="0.75" bottom="0.75" header="0.3" footer="0.3"/>
  <pageSetup orientation="portrait" r:id="rId1"/>
  <headerFooter alignWithMargins="0"/>
  <drawing r:id="rId2"/>
  <legacyDrawing r:id="rId3"/>
  <oleObjects>
    <oleObject progId="Equation.3" shapeId="2050" r:id="rId4"/>
    <oleObject progId="Equation.3" shapeId="2051" r:id="rId5"/>
    <oleObject progId="Equation.3" shapeId="2052" r:id="rId6"/>
  </oleObjec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 enableFormatConditionsCalculation="0">
    <pageSetUpPr fitToPage="1"/>
  </sheetPr>
  <dimension ref="B1:AQ55"/>
  <sheetViews>
    <sheetView showGridLines="0" showRowColHeaders="0" workbookViewId="0">
      <selection activeCell="BE21" sqref="BE21"/>
    </sheetView>
  </sheetViews>
  <sheetFormatPr defaultColWidth="9.140625" defaultRowHeight="12.75"/>
  <cols>
    <col min="1" max="1" width="2.85546875" style="5" customWidth="1"/>
    <col min="2" max="56" width="2.140625" style="5" customWidth="1"/>
    <col min="57" max="16384" width="9.140625" style="5"/>
  </cols>
  <sheetData>
    <row r="1" spans="3:37" ht="4.5" customHeight="1"/>
    <row r="5" spans="3:37">
      <c r="C5" s="57">
        <f>AM27</f>
        <v>0</v>
      </c>
      <c r="D5" s="57"/>
      <c r="E5" s="57"/>
      <c r="F5" s="57"/>
      <c r="G5" s="59">
        <f t="shared" ref="G5:G25" si="0">1-EXP(-$AI$7*C5)</f>
        <v>0</v>
      </c>
      <c r="H5" s="59"/>
      <c r="I5" s="59"/>
      <c r="J5" s="59"/>
      <c r="K5" s="59"/>
      <c r="L5" s="59"/>
      <c r="M5" s="59">
        <f t="shared" ref="M5:M25" si="1">(G5-MIN($G$5:$G$25))/(MAX($G$5:$G$25)-MIN($G$5:$G$25))</f>
        <v>0</v>
      </c>
      <c r="N5" s="59"/>
      <c r="O5" s="59"/>
      <c r="P5" s="59"/>
      <c r="Q5" s="59"/>
      <c r="R5" s="59"/>
    </row>
    <row r="6" spans="3:37">
      <c r="C6" s="57">
        <f t="shared" ref="C6:C24" si="2">C5+$AG$13</f>
        <v>5</v>
      </c>
      <c r="D6" s="57"/>
      <c r="E6" s="57"/>
      <c r="F6" s="57"/>
      <c r="G6" s="59">
        <f t="shared" si="0"/>
        <v>7.8070039777002775E-2</v>
      </c>
      <c r="H6" s="59"/>
      <c r="I6" s="59"/>
      <c r="J6" s="59"/>
      <c r="K6" s="59"/>
      <c r="L6" s="59"/>
      <c r="M6" s="59">
        <f t="shared" si="1"/>
        <v>9.7195107209970308E-2</v>
      </c>
      <c r="N6" s="59"/>
      <c r="O6" s="59"/>
      <c r="P6" s="59"/>
      <c r="Q6" s="59"/>
      <c r="R6" s="59"/>
    </row>
    <row r="7" spans="3:37">
      <c r="C7" s="57">
        <f t="shared" si="2"/>
        <v>10</v>
      </c>
      <c r="D7" s="57"/>
      <c r="E7" s="57"/>
      <c r="F7" s="57"/>
      <c r="G7" s="59">
        <f t="shared" si="0"/>
        <v>0.1500451484432227</v>
      </c>
      <c r="H7" s="59"/>
      <c r="I7" s="59"/>
      <c r="J7" s="59"/>
      <c r="K7" s="59"/>
      <c r="L7" s="59"/>
      <c r="M7" s="59">
        <f t="shared" si="1"/>
        <v>0.18680218853392813</v>
      </c>
      <c r="N7" s="59"/>
      <c r="O7" s="59"/>
      <c r="P7" s="59"/>
      <c r="Q7" s="59"/>
      <c r="R7" s="59"/>
      <c r="Z7" s="60" t="s">
        <v>2</v>
      </c>
      <c r="AA7" s="60"/>
      <c r="AB7" s="60"/>
      <c r="AC7" s="60"/>
      <c r="AD7" s="60"/>
      <c r="AE7" s="60"/>
      <c r="AF7" s="60"/>
      <c r="AG7" s="60"/>
      <c r="AH7" s="60"/>
      <c r="AI7" s="60">
        <f>(-LOG(LOG(1.1+0.88*(10-AM29))))/((LOG(AM28))^2)</f>
        <v>1.6257204672402593E-2</v>
      </c>
      <c r="AJ7" s="60"/>
      <c r="AK7" s="60"/>
    </row>
    <row r="8" spans="3:37">
      <c r="C8" s="57">
        <f t="shared" si="2"/>
        <v>15</v>
      </c>
      <c r="D8" s="57"/>
      <c r="E8" s="57"/>
      <c r="F8" s="57"/>
      <c r="G8" s="59">
        <f t="shared" si="0"/>
        <v>0.21640115751291678</v>
      </c>
      <c r="H8" s="59"/>
      <c r="I8" s="59"/>
      <c r="J8" s="59"/>
      <c r="K8" s="59"/>
      <c r="L8" s="59"/>
      <c r="M8" s="59">
        <f t="shared" si="1"/>
        <v>0.26941364145462349</v>
      </c>
      <c r="N8" s="59"/>
      <c r="O8" s="59"/>
      <c r="P8" s="59"/>
      <c r="Q8" s="59"/>
      <c r="R8" s="59"/>
    </row>
    <row r="9" spans="3:37">
      <c r="C9" s="57">
        <f t="shared" si="2"/>
        <v>20</v>
      </c>
      <c r="D9" s="57"/>
      <c r="E9" s="57"/>
      <c r="F9" s="57"/>
      <c r="G9" s="59">
        <f t="shared" si="0"/>
        <v>0.27757675031509665</v>
      </c>
      <c r="H9" s="59"/>
      <c r="I9" s="59"/>
      <c r="J9" s="59"/>
      <c r="K9" s="59"/>
      <c r="L9" s="59"/>
      <c r="M9" s="59">
        <f t="shared" si="1"/>
        <v>0.34557561495976413</v>
      </c>
      <c r="N9" s="59"/>
      <c r="O9" s="59"/>
      <c r="P9" s="59"/>
      <c r="Q9" s="59"/>
      <c r="R9" s="59"/>
    </row>
    <row r="10" spans="3:37">
      <c r="C10" s="57">
        <f t="shared" si="2"/>
        <v>25</v>
      </c>
      <c r="D10" s="57"/>
      <c r="E10" s="57"/>
      <c r="F10" s="57"/>
      <c r="G10" s="59">
        <f t="shared" si="0"/>
        <v>0.33397636215382864</v>
      </c>
      <c r="H10" s="59"/>
      <c r="I10" s="59"/>
      <c r="J10" s="59"/>
      <c r="K10" s="59"/>
      <c r="L10" s="59"/>
      <c r="M10" s="59">
        <f t="shared" si="1"/>
        <v>0.4157916201638634</v>
      </c>
      <c r="N10" s="59"/>
      <c r="O10" s="59"/>
      <c r="P10" s="59"/>
      <c r="Q10" s="59"/>
      <c r="R10" s="59"/>
    </row>
    <row r="11" spans="3:37">
      <c r="C11" s="57">
        <f t="shared" si="2"/>
        <v>30</v>
      </c>
      <c r="D11" s="57"/>
      <c r="E11" s="57"/>
      <c r="F11" s="57"/>
      <c r="G11" s="59">
        <f t="shared" si="0"/>
        <v>0.38597285405290338</v>
      </c>
      <c r="H11" s="59"/>
      <c r="I11" s="59"/>
      <c r="J11" s="59"/>
      <c r="K11" s="59"/>
      <c r="L11" s="59"/>
      <c r="M11" s="59">
        <f t="shared" si="1"/>
        <v>0.48052585904869655</v>
      </c>
      <c r="N11" s="59"/>
      <c r="O11" s="59"/>
      <c r="P11" s="59"/>
      <c r="Q11" s="59"/>
      <c r="R11" s="59"/>
    </row>
    <row r="12" spans="3:37">
      <c r="C12" s="57">
        <f t="shared" si="2"/>
        <v>35</v>
      </c>
      <c r="D12" s="57"/>
      <c r="E12" s="57"/>
      <c r="F12" s="57"/>
      <c r="G12" s="59">
        <f t="shared" si="0"/>
        <v>0.43390997776115259</v>
      </c>
      <c r="H12" s="59"/>
      <c r="I12" s="59"/>
      <c r="J12" s="59"/>
      <c r="K12" s="59"/>
      <c r="L12" s="59"/>
      <c r="M12" s="59">
        <f t="shared" si="1"/>
        <v>0.5402062933288565</v>
      </c>
      <c r="N12" s="59"/>
      <c r="O12" s="59"/>
      <c r="P12" s="59"/>
      <c r="Q12" s="59"/>
      <c r="R12" s="59"/>
    </row>
    <row r="13" spans="3:37">
      <c r="C13" s="57">
        <f t="shared" si="2"/>
        <v>40</v>
      </c>
      <c r="D13" s="57"/>
      <c r="E13" s="57"/>
      <c r="F13" s="57"/>
      <c r="G13" s="59">
        <f t="shared" si="0"/>
        <v>0.47810464831470378</v>
      </c>
      <c r="H13" s="59"/>
      <c r="I13" s="59"/>
      <c r="J13" s="59"/>
      <c r="K13" s="59"/>
      <c r="L13" s="59"/>
      <c r="M13" s="59">
        <f t="shared" si="1"/>
        <v>0.59522747373085583</v>
      </c>
      <c r="N13" s="59"/>
      <c r="O13" s="59"/>
      <c r="P13" s="59"/>
      <c r="Q13" s="59"/>
      <c r="R13" s="59"/>
      <c r="AB13" s="60" t="s">
        <v>0</v>
      </c>
      <c r="AC13" s="60"/>
      <c r="AD13" s="60"/>
      <c r="AE13" s="60"/>
      <c r="AF13" s="60"/>
      <c r="AG13" s="54">
        <f>(AM28-AM27)/20</f>
        <v>5</v>
      </c>
      <c r="AH13" s="54"/>
      <c r="AI13" s="54"/>
    </row>
    <row r="14" spans="3:37" ht="12.75" customHeight="1">
      <c r="C14" s="57">
        <f t="shared" si="2"/>
        <v>45</v>
      </c>
      <c r="D14" s="57"/>
      <c r="E14" s="57"/>
      <c r="F14" s="57"/>
      <c r="G14" s="59">
        <f t="shared" si="0"/>
        <v>0.51884903918020775</v>
      </c>
      <c r="H14" s="59"/>
      <c r="I14" s="59"/>
      <c r="J14" s="59"/>
      <c r="K14" s="59"/>
      <c r="L14" s="59"/>
      <c r="M14" s="59">
        <f t="shared" si="1"/>
        <v>0.64595314839029339</v>
      </c>
      <c r="N14" s="59"/>
      <c r="O14" s="59"/>
      <c r="P14" s="59"/>
      <c r="Q14" s="59"/>
      <c r="R14" s="59"/>
      <c r="AB14" s="79" t="s">
        <v>16</v>
      </c>
      <c r="AC14" s="79"/>
      <c r="AD14" s="79"/>
      <c r="AE14" s="79"/>
      <c r="AF14" s="79"/>
      <c r="AG14" s="79"/>
      <c r="AH14" s="79"/>
      <c r="AI14" s="79"/>
    </row>
    <row r="15" spans="3:37">
      <c r="C15" s="57">
        <f t="shared" si="2"/>
        <v>50</v>
      </c>
      <c r="D15" s="57"/>
      <c r="E15" s="57"/>
      <c r="F15" s="57"/>
      <c r="G15" s="59">
        <f t="shared" si="0"/>
        <v>0.556412513830152</v>
      </c>
      <c r="H15" s="59"/>
      <c r="I15" s="59"/>
      <c r="J15" s="59"/>
      <c r="K15" s="59"/>
      <c r="L15" s="59"/>
      <c r="M15" s="59">
        <f t="shared" si="1"/>
        <v>0.69271866761135326</v>
      </c>
      <c r="N15" s="59"/>
      <c r="O15" s="59"/>
      <c r="P15" s="59"/>
      <c r="Q15" s="59"/>
      <c r="R15" s="59"/>
      <c r="AB15" s="79"/>
      <c r="AC15" s="79"/>
      <c r="AD15" s="79"/>
      <c r="AE15" s="79"/>
      <c r="AF15" s="79"/>
      <c r="AG15" s="79"/>
      <c r="AH15" s="79"/>
      <c r="AI15" s="79"/>
    </row>
    <row r="16" spans="3:37" ht="12.75" customHeight="1">
      <c r="C16" s="57">
        <f t="shared" si="2"/>
        <v>55</v>
      </c>
      <c r="D16" s="57"/>
      <c r="E16" s="57"/>
      <c r="F16" s="57"/>
      <c r="G16" s="59">
        <f t="shared" si="0"/>
        <v>0.59104340652001275</v>
      </c>
      <c r="H16" s="59"/>
      <c r="I16" s="59"/>
      <c r="J16" s="59"/>
      <c r="K16" s="59"/>
      <c r="L16" s="59"/>
      <c r="M16" s="59">
        <f t="shared" si="1"/>
        <v>0.73583320088663295</v>
      </c>
      <c r="N16" s="59"/>
      <c r="O16" s="59"/>
      <c r="P16" s="59"/>
      <c r="Q16" s="59"/>
      <c r="R16" s="59"/>
      <c r="AB16" s="79"/>
      <c r="AC16" s="79"/>
      <c r="AD16" s="79"/>
      <c r="AE16" s="79"/>
      <c r="AF16" s="79"/>
      <c r="AG16" s="79"/>
      <c r="AH16" s="79"/>
      <c r="AI16" s="79"/>
    </row>
    <row r="17" spans="3:43">
      <c r="C17" s="57">
        <f t="shared" si="2"/>
        <v>60</v>
      </c>
      <c r="D17" s="57"/>
      <c r="E17" s="57"/>
      <c r="F17" s="57"/>
      <c r="G17" s="59">
        <f t="shared" si="0"/>
        <v>0.62297066404006285</v>
      </c>
      <c r="H17" s="59"/>
      <c r="I17" s="59"/>
      <c r="J17" s="59"/>
      <c r="K17" s="59"/>
      <c r="L17" s="59"/>
      <c r="M17" s="59">
        <f t="shared" si="1"/>
        <v>0.77558178083414442</v>
      </c>
      <c r="N17" s="59"/>
      <c r="O17" s="59"/>
      <c r="P17" s="59"/>
      <c r="Q17" s="59"/>
      <c r="R17" s="59"/>
    </row>
    <row r="18" spans="3:43">
      <c r="C18" s="57">
        <f t="shared" si="2"/>
        <v>65</v>
      </c>
      <c r="D18" s="57"/>
      <c r="E18" s="57"/>
      <c r="F18" s="57"/>
      <c r="G18" s="59">
        <f t="shared" si="0"/>
        <v>0.6524053592955521</v>
      </c>
      <c r="H18" s="59"/>
      <c r="I18" s="59"/>
      <c r="J18" s="59"/>
      <c r="K18" s="59"/>
      <c r="L18" s="59"/>
      <c r="M18" s="59">
        <f t="shared" si="1"/>
        <v>0.81222718756407442</v>
      </c>
      <c r="N18" s="59"/>
      <c r="O18" s="59"/>
      <c r="P18" s="59"/>
      <c r="Q18" s="59"/>
      <c r="R18" s="59"/>
    </row>
    <row r="19" spans="3:43">
      <c r="C19" s="57">
        <f t="shared" si="2"/>
        <v>70</v>
      </c>
      <c r="D19" s="57"/>
      <c r="E19" s="57"/>
      <c r="F19" s="57"/>
      <c r="G19" s="59">
        <f t="shared" si="0"/>
        <v>0.67954208672162131</v>
      </c>
      <c r="H19" s="59"/>
      <c r="I19" s="59"/>
      <c r="J19" s="59"/>
      <c r="K19" s="59"/>
      <c r="L19" s="59"/>
      <c r="M19" s="59">
        <f t="shared" si="1"/>
        <v>0.84601168593295439</v>
      </c>
      <c r="N19" s="59"/>
      <c r="O19" s="59"/>
      <c r="P19" s="59"/>
      <c r="Q19" s="59"/>
      <c r="R19" s="59"/>
    </row>
    <row r="20" spans="3:43">
      <c r="C20" s="57">
        <f t="shared" si="2"/>
        <v>75</v>
      </c>
      <c r="D20" s="57"/>
      <c r="E20" s="57"/>
      <c r="F20" s="57"/>
      <c r="G20" s="59">
        <f t="shared" si="0"/>
        <v>0.70456024875811962</v>
      </c>
      <c r="H20" s="59"/>
      <c r="I20" s="59"/>
      <c r="J20" s="59"/>
      <c r="K20" s="59"/>
      <c r="L20" s="59"/>
      <c r="M20" s="59">
        <f t="shared" si="1"/>
        <v>0.87715862717032977</v>
      </c>
      <c r="N20" s="59"/>
      <c r="O20" s="59"/>
      <c r="P20" s="59"/>
      <c r="Q20" s="59"/>
      <c r="R20" s="59"/>
    </row>
    <row r="21" spans="3:43">
      <c r="C21" s="57">
        <f t="shared" si="2"/>
        <v>80</v>
      </c>
      <c r="D21" s="57"/>
      <c r="E21" s="57"/>
      <c r="F21" s="57"/>
      <c r="G21" s="59">
        <f t="shared" si="0"/>
        <v>0.72762524188928102</v>
      </c>
      <c r="H21" s="59"/>
      <c r="I21" s="59"/>
      <c r="J21" s="59"/>
      <c r="K21" s="59"/>
      <c r="L21" s="59"/>
      <c r="M21" s="59">
        <f t="shared" si="1"/>
        <v>0.90587392546637124</v>
      </c>
      <c r="N21" s="59"/>
      <c r="O21" s="59"/>
      <c r="P21" s="59"/>
      <c r="Q21" s="59"/>
      <c r="R21" s="59"/>
    </row>
    <row r="22" spans="3:43">
      <c r="C22" s="57">
        <f t="shared" si="2"/>
        <v>85</v>
      </c>
      <c r="D22" s="57"/>
      <c r="E22" s="57"/>
      <c r="F22" s="57"/>
      <c r="G22" s="59">
        <f t="shared" si="0"/>
        <v>0.7488895500892363</v>
      </c>
      <c r="H22" s="59"/>
      <c r="I22" s="59"/>
      <c r="J22" s="59"/>
      <c r="K22" s="59"/>
      <c r="L22" s="59"/>
      <c r="M22" s="59">
        <f t="shared" si="1"/>
        <v>0.93234741928223219</v>
      </c>
      <c r="N22" s="59"/>
      <c r="O22" s="59"/>
      <c r="P22" s="59"/>
      <c r="Q22" s="59"/>
      <c r="R22" s="59"/>
    </row>
    <row r="23" spans="3:43">
      <c r="C23" s="57">
        <f t="shared" si="2"/>
        <v>90</v>
      </c>
      <c r="D23" s="57"/>
      <c r="E23" s="57"/>
      <c r="F23" s="57"/>
      <c r="G23" s="59">
        <f t="shared" si="0"/>
        <v>0.76849375290219069</v>
      </c>
      <c r="H23" s="59"/>
      <c r="I23" s="59"/>
      <c r="J23" s="59"/>
      <c r="K23" s="59"/>
      <c r="L23" s="59"/>
      <c r="M23" s="59">
        <f t="shared" si="1"/>
        <v>0.95675412638285273</v>
      </c>
      <c r="N23" s="59"/>
      <c r="O23" s="59"/>
      <c r="P23" s="59"/>
      <c r="Q23" s="59"/>
      <c r="R23" s="59"/>
    </row>
    <row r="24" spans="3:43">
      <c r="C24" s="57">
        <f t="shared" si="2"/>
        <v>95</v>
      </c>
      <c r="D24" s="57"/>
      <c r="E24" s="57"/>
      <c r="F24" s="57"/>
      <c r="G24" s="59">
        <f t="shared" si="0"/>
        <v>0.78656745482174129</v>
      </c>
      <c r="H24" s="59"/>
      <c r="I24" s="59"/>
      <c r="J24" s="59"/>
      <c r="K24" s="59"/>
      <c r="L24" s="59"/>
      <c r="M24" s="59">
        <f t="shared" si="1"/>
        <v>0.97925540088930219</v>
      </c>
      <c r="N24" s="59"/>
      <c r="O24" s="59"/>
      <c r="P24" s="59"/>
      <c r="Q24" s="59"/>
      <c r="R24" s="59"/>
    </row>
    <row r="25" spans="3:43">
      <c r="C25" s="57">
        <f>AM28</f>
        <v>100</v>
      </c>
      <c r="D25" s="57"/>
      <c r="E25" s="57"/>
      <c r="F25" s="57"/>
      <c r="G25" s="59">
        <f t="shared" si="0"/>
        <v>0.80323014211351496</v>
      </c>
      <c r="H25" s="59"/>
      <c r="I25" s="59"/>
      <c r="J25" s="59"/>
      <c r="K25" s="59"/>
      <c r="L25" s="59"/>
      <c r="M25" s="59">
        <f t="shared" si="1"/>
        <v>1</v>
      </c>
      <c r="N25" s="59"/>
      <c r="O25" s="59"/>
      <c r="P25" s="59"/>
      <c r="Q25" s="59"/>
      <c r="R25" s="59"/>
    </row>
    <row r="27" spans="3:43">
      <c r="P27" s="23"/>
      <c r="Q27" s="29"/>
      <c r="R27" s="29"/>
      <c r="S27" s="29"/>
      <c r="T27" s="29"/>
      <c r="U27" s="23"/>
      <c r="V27" s="23"/>
      <c r="AA27" s="78" t="s">
        <v>13</v>
      </c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54">
        <v>0</v>
      </c>
      <c r="AN27" s="54"/>
      <c r="AO27" s="54"/>
      <c r="AP27" s="54"/>
      <c r="AQ27" s="54"/>
    </row>
    <row r="28" spans="3:43">
      <c r="P28" s="23"/>
      <c r="Q28" s="29"/>
      <c r="R28" s="29"/>
      <c r="S28" s="29"/>
      <c r="T28" s="29"/>
      <c r="U28" s="23"/>
      <c r="V28" s="23"/>
      <c r="AA28" s="78" t="s">
        <v>14</v>
      </c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54">
        <v>100</v>
      </c>
      <c r="AN28" s="54"/>
      <c r="AO28" s="54"/>
      <c r="AP28" s="54"/>
      <c r="AQ28" s="54"/>
    </row>
    <row r="29" spans="3:43">
      <c r="P29" s="23"/>
      <c r="Q29" s="29"/>
      <c r="R29" s="29"/>
      <c r="S29" s="29"/>
      <c r="T29" s="29"/>
      <c r="U29" s="23"/>
      <c r="V29" s="23"/>
      <c r="AA29" s="78" t="s">
        <v>1</v>
      </c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54">
        <v>3</v>
      </c>
      <c r="AN29" s="54"/>
      <c r="AO29" s="54"/>
      <c r="AP29" s="54"/>
      <c r="AQ29" s="54"/>
    </row>
    <row r="30" spans="3:43">
      <c r="P30" s="23"/>
      <c r="Q30" s="29"/>
      <c r="R30" s="29"/>
      <c r="S30" s="29"/>
      <c r="T30" s="29"/>
      <c r="U30" s="23"/>
      <c r="V30" s="23"/>
      <c r="AA30" s="78" t="s">
        <v>9</v>
      </c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54" t="s">
        <v>21</v>
      </c>
      <c r="AN30" s="54"/>
      <c r="AO30" s="54"/>
      <c r="AP30" s="54"/>
      <c r="AQ30" s="54"/>
    </row>
    <row r="31" spans="3:43" ht="6" customHeight="1"/>
    <row r="32" spans="3:43" ht="12.75" customHeight="1">
      <c r="D32" s="8"/>
      <c r="I32" s="24" t="s">
        <v>19</v>
      </c>
      <c r="J32" s="80">
        <f>VALUE(AI7)</f>
        <v>1.6257204672402593E-2</v>
      </c>
      <c r="K32" s="80"/>
      <c r="L32" s="80"/>
      <c r="M32" s="80"/>
      <c r="N32" s="80"/>
      <c r="O32" s="80"/>
      <c r="P32" s="80"/>
      <c r="Q32" s="80"/>
      <c r="R32" s="80"/>
      <c r="W32" s="56" t="s">
        <v>23</v>
      </c>
      <c r="X32" s="56"/>
      <c r="Y32" s="56"/>
      <c r="Z32" s="56"/>
      <c r="AA32" s="56"/>
      <c r="AB32" s="56"/>
    </row>
    <row r="33" spans="2:43">
      <c r="D33" s="8"/>
      <c r="I33" s="24" t="s">
        <v>19</v>
      </c>
      <c r="J33" s="80" t="s">
        <v>20</v>
      </c>
      <c r="K33" s="80"/>
      <c r="L33" s="80"/>
      <c r="M33" s="80"/>
      <c r="N33" s="80"/>
      <c r="O33" s="80"/>
      <c r="P33" s="80"/>
      <c r="Q33" s="80"/>
      <c r="R33" s="80"/>
      <c r="W33" s="56"/>
      <c r="X33" s="56"/>
      <c r="Y33" s="56"/>
      <c r="Z33" s="56"/>
      <c r="AA33" s="56"/>
      <c r="AB33" s="56"/>
    </row>
    <row r="34" spans="2:43">
      <c r="D34" s="19"/>
      <c r="I34" s="25" t="s">
        <v>19</v>
      </c>
      <c r="J34" s="81">
        <f>MIN(G5:G25)</f>
        <v>0</v>
      </c>
      <c r="K34" s="81"/>
      <c r="L34" s="81"/>
      <c r="M34" s="81"/>
      <c r="N34" s="81"/>
      <c r="O34" s="81"/>
      <c r="P34" s="81"/>
      <c r="Q34" s="81"/>
      <c r="R34" s="81"/>
      <c r="W34" s="56"/>
      <c r="X34" s="56"/>
      <c r="Y34" s="56"/>
      <c r="Z34" s="56"/>
      <c r="AA34" s="56"/>
      <c r="AB34" s="56"/>
    </row>
    <row r="35" spans="2:43">
      <c r="D35" s="19"/>
      <c r="I35" s="25" t="s">
        <v>19</v>
      </c>
      <c r="J35" s="82">
        <f>MAX(G5:G25)</f>
        <v>0.80323014211351496</v>
      </c>
      <c r="K35" s="82"/>
      <c r="L35" s="82"/>
      <c r="M35" s="82"/>
      <c r="N35" s="82"/>
      <c r="O35" s="82"/>
      <c r="P35" s="82"/>
      <c r="Q35" s="82"/>
      <c r="R35" s="82"/>
      <c r="W35" s="56"/>
      <c r="X35" s="56"/>
      <c r="Y35" s="56"/>
      <c r="Z35" s="56"/>
      <c r="AA35" s="56"/>
      <c r="AB35" s="56"/>
    </row>
    <row r="36" spans="2:43" ht="6" customHeight="1">
      <c r="D36" s="19"/>
      <c r="E36" s="19"/>
      <c r="F36" s="18"/>
      <c r="G36" s="14"/>
      <c r="H36" s="14"/>
      <c r="I36" s="14"/>
    </row>
    <row r="37" spans="2:43">
      <c r="C37" s="63" t="s">
        <v>22</v>
      </c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</row>
    <row r="38" spans="2:43">
      <c r="B38" s="26"/>
      <c r="C38" s="77" t="str">
        <f>"funcion_de_valor=((1 - exp  ("&amp;VALUE(AI7)&amp;"*mapa_atributo))-"&amp;MIN(G5:G25)&amp;"))/(("&amp;MAX(G5:G25)&amp;")-("&amp;MIN(G5:G25)&amp;"))"</f>
        <v>funcion_de_valor=((1 - exp  (0.0162572046724026*mapa_atributo))-0))/((0.803230142113515)-(0))</v>
      </c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</row>
    <row r="39" spans="2:43" ht="6" customHeight="1" thickBot="1"/>
    <row r="40" spans="2:43" ht="13.5" customHeight="1" thickBot="1">
      <c r="B40" s="65" t="s">
        <v>4</v>
      </c>
      <c r="C40" s="66"/>
      <c r="D40" s="66"/>
      <c r="E40" s="66"/>
      <c r="F40" s="66"/>
      <c r="G40" s="66"/>
      <c r="H40" s="66"/>
      <c r="I40" s="66"/>
      <c r="J40" s="66"/>
      <c r="K40" s="66"/>
      <c r="L40" s="67"/>
      <c r="M40" s="65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7"/>
    </row>
    <row r="41" spans="2:43" ht="13.5" customHeight="1" thickBot="1">
      <c r="B41" s="65" t="s">
        <v>10</v>
      </c>
      <c r="C41" s="66"/>
      <c r="D41" s="66"/>
      <c r="E41" s="66"/>
      <c r="F41" s="66"/>
      <c r="G41" s="66"/>
      <c r="H41" s="66"/>
      <c r="I41" s="66"/>
      <c r="J41" s="66"/>
      <c r="K41" s="66"/>
      <c r="L41" s="67"/>
      <c r="M41" s="65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7"/>
    </row>
    <row r="42" spans="2:43" ht="27" customHeight="1" thickBot="1">
      <c r="B42" s="65" t="s">
        <v>12</v>
      </c>
      <c r="C42" s="66"/>
      <c r="D42" s="66"/>
      <c r="E42" s="66"/>
      <c r="F42" s="66"/>
      <c r="G42" s="66"/>
      <c r="H42" s="66"/>
      <c r="I42" s="66"/>
      <c r="J42" s="66"/>
      <c r="K42" s="66"/>
      <c r="L42" s="67"/>
      <c r="M42" s="65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7"/>
    </row>
    <row r="43" spans="2:43" ht="13.5" customHeight="1" thickBot="1">
      <c r="B43" s="65" t="s">
        <v>5</v>
      </c>
      <c r="C43" s="66"/>
      <c r="D43" s="66"/>
      <c r="E43" s="66"/>
      <c r="F43" s="66"/>
      <c r="G43" s="66"/>
      <c r="H43" s="66"/>
      <c r="I43" s="66"/>
      <c r="J43" s="66"/>
      <c r="K43" s="66"/>
      <c r="L43" s="67"/>
      <c r="M43" s="65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7"/>
    </row>
    <row r="44" spans="2:43" ht="13.5" customHeight="1" thickBot="1">
      <c r="B44" s="65" t="s">
        <v>6</v>
      </c>
      <c r="C44" s="66"/>
      <c r="D44" s="66"/>
      <c r="E44" s="66"/>
      <c r="F44" s="66"/>
      <c r="G44" s="66"/>
      <c r="H44" s="66"/>
      <c r="I44" s="66"/>
      <c r="J44" s="66"/>
      <c r="K44" s="66"/>
      <c r="L44" s="67"/>
      <c r="M44" s="65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7"/>
    </row>
    <row r="45" spans="2:43" ht="12.75" customHeight="1">
      <c r="B45" s="68" t="s">
        <v>7</v>
      </c>
      <c r="C45" s="69"/>
      <c r="D45" s="69"/>
      <c r="E45" s="69"/>
      <c r="F45" s="69"/>
      <c r="G45" s="69"/>
      <c r="H45" s="69"/>
      <c r="I45" s="69"/>
      <c r="J45" s="69"/>
      <c r="K45" s="69"/>
      <c r="L45" s="70"/>
      <c r="M45" s="68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70"/>
    </row>
    <row r="46" spans="2:43">
      <c r="B46" s="71"/>
      <c r="C46" s="72"/>
      <c r="D46" s="72"/>
      <c r="E46" s="72"/>
      <c r="F46" s="72"/>
      <c r="G46" s="72"/>
      <c r="H46" s="72"/>
      <c r="I46" s="72"/>
      <c r="J46" s="72"/>
      <c r="K46" s="72"/>
      <c r="L46" s="73"/>
      <c r="M46" s="71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3"/>
    </row>
    <row r="47" spans="2:43">
      <c r="B47" s="71"/>
      <c r="C47" s="72"/>
      <c r="D47" s="72"/>
      <c r="E47" s="72"/>
      <c r="F47" s="72"/>
      <c r="G47" s="72"/>
      <c r="H47" s="72"/>
      <c r="I47" s="72"/>
      <c r="J47" s="72"/>
      <c r="K47" s="72"/>
      <c r="L47" s="73"/>
      <c r="M47" s="71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3"/>
    </row>
    <row r="48" spans="2:43">
      <c r="B48" s="71"/>
      <c r="C48" s="72"/>
      <c r="D48" s="72"/>
      <c r="E48" s="72"/>
      <c r="F48" s="72"/>
      <c r="G48" s="72"/>
      <c r="H48" s="72"/>
      <c r="I48" s="72"/>
      <c r="J48" s="72"/>
      <c r="K48" s="72"/>
      <c r="L48" s="73"/>
      <c r="M48" s="71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3"/>
    </row>
    <row r="49" spans="2:43">
      <c r="B49" s="71"/>
      <c r="C49" s="72"/>
      <c r="D49" s="72"/>
      <c r="E49" s="72"/>
      <c r="F49" s="72"/>
      <c r="G49" s="72"/>
      <c r="H49" s="72"/>
      <c r="I49" s="72"/>
      <c r="J49" s="72"/>
      <c r="K49" s="72"/>
      <c r="L49" s="73"/>
      <c r="M49" s="71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3"/>
    </row>
    <row r="50" spans="2:43">
      <c r="B50" s="71"/>
      <c r="C50" s="72"/>
      <c r="D50" s="72"/>
      <c r="E50" s="72"/>
      <c r="F50" s="72"/>
      <c r="G50" s="72"/>
      <c r="H50" s="72"/>
      <c r="I50" s="72"/>
      <c r="J50" s="72"/>
      <c r="K50" s="72"/>
      <c r="L50" s="73"/>
      <c r="M50" s="71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3"/>
    </row>
    <row r="51" spans="2:43">
      <c r="B51" s="71"/>
      <c r="C51" s="72"/>
      <c r="D51" s="72"/>
      <c r="E51" s="72"/>
      <c r="F51" s="72"/>
      <c r="G51" s="72"/>
      <c r="H51" s="72"/>
      <c r="I51" s="72"/>
      <c r="J51" s="72"/>
      <c r="K51" s="72"/>
      <c r="L51" s="73"/>
      <c r="M51" s="71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3"/>
    </row>
    <row r="52" spans="2:43">
      <c r="B52" s="71"/>
      <c r="C52" s="72"/>
      <c r="D52" s="72"/>
      <c r="E52" s="72"/>
      <c r="F52" s="72"/>
      <c r="G52" s="72"/>
      <c r="H52" s="72"/>
      <c r="I52" s="72"/>
      <c r="J52" s="72"/>
      <c r="K52" s="72"/>
      <c r="L52" s="73"/>
      <c r="M52" s="71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3"/>
    </row>
    <row r="53" spans="2:43" ht="13.5" thickBot="1">
      <c r="B53" s="74"/>
      <c r="C53" s="75"/>
      <c r="D53" s="75"/>
      <c r="E53" s="75"/>
      <c r="F53" s="75"/>
      <c r="G53" s="75"/>
      <c r="H53" s="75"/>
      <c r="I53" s="75"/>
      <c r="J53" s="75"/>
      <c r="K53" s="75"/>
      <c r="L53" s="76"/>
      <c r="M53" s="74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6"/>
    </row>
    <row r="54" spans="2:43" ht="27" customHeight="1" thickBot="1">
      <c r="B54" s="65" t="s">
        <v>11</v>
      </c>
      <c r="C54" s="66"/>
      <c r="D54" s="66"/>
      <c r="E54" s="66"/>
      <c r="F54" s="66"/>
      <c r="G54" s="66"/>
      <c r="H54" s="66"/>
      <c r="I54" s="66"/>
      <c r="J54" s="66"/>
      <c r="K54" s="66"/>
      <c r="L54" s="67"/>
      <c r="M54" s="65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7"/>
    </row>
    <row r="55" spans="2:43" ht="13.5" customHeight="1" thickBot="1">
      <c r="B55" s="65" t="s">
        <v>8</v>
      </c>
      <c r="C55" s="66"/>
      <c r="D55" s="66"/>
      <c r="E55" s="66"/>
      <c r="F55" s="66"/>
      <c r="G55" s="66"/>
      <c r="H55" s="66"/>
      <c r="I55" s="66"/>
      <c r="J55" s="66"/>
      <c r="K55" s="66"/>
      <c r="L55" s="67"/>
      <c r="M55" s="65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7"/>
    </row>
  </sheetData>
  <mergeCells count="107">
    <mergeCell ref="C22:F22"/>
    <mergeCell ref="C23:F23"/>
    <mergeCell ref="C24:F24"/>
    <mergeCell ref="C25:F25"/>
    <mergeCell ref="M21:R21"/>
    <mergeCell ref="M22:R22"/>
    <mergeCell ref="M23:R23"/>
    <mergeCell ref="M24:R24"/>
    <mergeCell ref="M25:R25"/>
    <mergeCell ref="G22:L22"/>
    <mergeCell ref="G23:L23"/>
    <mergeCell ref="W32:AB35"/>
    <mergeCell ref="J32:R32"/>
    <mergeCell ref="J33:R33"/>
    <mergeCell ref="J34:R34"/>
    <mergeCell ref="J35:R35"/>
    <mergeCell ref="G24:L24"/>
    <mergeCell ref="AB13:AF13"/>
    <mergeCell ref="G5:L5"/>
    <mergeCell ref="G6:L6"/>
    <mergeCell ref="G7:L7"/>
    <mergeCell ref="G8:L8"/>
    <mergeCell ref="G9:L9"/>
    <mergeCell ref="G10:L10"/>
    <mergeCell ref="G11:L11"/>
    <mergeCell ref="G12:L12"/>
    <mergeCell ref="G13:L13"/>
    <mergeCell ref="M5:R5"/>
    <mergeCell ref="M6:R6"/>
    <mergeCell ref="M7:R7"/>
    <mergeCell ref="M8:R8"/>
    <mergeCell ref="M9:R9"/>
    <mergeCell ref="M10:R10"/>
    <mergeCell ref="G19:L19"/>
    <mergeCell ref="M16:R16"/>
    <mergeCell ref="M17:R17"/>
    <mergeCell ref="M18:R18"/>
    <mergeCell ref="M19:R19"/>
    <mergeCell ref="M20:R20"/>
    <mergeCell ref="M11:R11"/>
    <mergeCell ref="AB14:AI16"/>
    <mergeCell ref="C5:F5"/>
    <mergeCell ref="C6:F6"/>
    <mergeCell ref="C7:F7"/>
    <mergeCell ref="C8:F8"/>
    <mergeCell ref="C9:F9"/>
    <mergeCell ref="C10:F10"/>
    <mergeCell ref="C11:F11"/>
    <mergeCell ref="C12:F12"/>
    <mergeCell ref="C13:F13"/>
    <mergeCell ref="C14:F14"/>
    <mergeCell ref="C15:F15"/>
    <mergeCell ref="C16:F16"/>
    <mergeCell ref="AG13:AI13"/>
    <mergeCell ref="G14:L14"/>
    <mergeCell ref="G15:L15"/>
    <mergeCell ref="G16:L16"/>
    <mergeCell ref="M12:R12"/>
    <mergeCell ref="M13:R13"/>
    <mergeCell ref="M14:R14"/>
    <mergeCell ref="M15:R15"/>
    <mergeCell ref="M47:AQ47"/>
    <mergeCell ref="M48:AQ48"/>
    <mergeCell ref="M49:AQ49"/>
    <mergeCell ref="M50:AQ50"/>
    <mergeCell ref="C17:F17"/>
    <mergeCell ref="C18:F18"/>
    <mergeCell ref="C19:F19"/>
    <mergeCell ref="C20:F20"/>
    <mergeCell ref="C21:F21"/>
    <mergeCell ref="G17:L17"/>
    <mergeCell ref="G18:L18"/>
    <mergeCell ref="AM30:AQ30"/>
    <mergeCell ref="AM29:AQ29"/>
    <mergeCell ref="AM28:AQ28"/>
    <mergeCell ref="AM27:AQ27"/>
    <mergeCell ref="AA27:AL27"/>
    <mergeCell ref="AA28:AL28"/>
    <mergeCell ref="AA29:AL29"/>
    <mergeCell ref="AA30:AL30"/>
    <mergeCell ref="G25:L25"/>
    <mergeCell ref="G20:L20"/>
    <mergeCell ref="G21:L21"/>
    <mergeCell ref="AI7:AK7"/>
    <mergeCell ref="Z7:AH7"/>
    <mergeCell ref="B54:L54"/>
    <mergeCell ref="B55:L55"/>
    <mergeCell ref="M51:AQ51"/>
    <mergeCell ref="M52:AQ52"/>
    <mergeCell ref="M53:AQ53"/>
    <mergeCell ref="M54:AQ54"/>
    <mergeCell ref="M55:AQ55"/>
    <mergeCell ref="C38:AP38"/>
    <mergeCell ref="C37:AP37"/>
    <mergeCell ref="B40:L40"/>
    <mergeCell ref="B41:L41"/>
    <mergeCell ref="B42:L42"/>
    <mergeCell ref="B43:L43"/>
    <mergeCell ref="B44:L44"/>
    <mergeCell ref="B45:L53"/>
    <mergeCell ref="M40:AQ40"/>
    <mergeCell ref="M41:AQ41"/>
    <mergeCell ref="M42:AQ42"/>
    <mergeCell ref="M43:AQ43"/>
    <mergeCell ref="M44:AQ44"/>
    <mergeCell ref="M45:AQ45"/>
    <mergeCell ref="M46:AQ46"/>
  </mergeCells>
  <phoneticPr fontId="1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oleObjects>
    <oleObject progId="Equation.3" shapeId="3075" r:id="rId4"/>
    <oleObject progId="Equation.3" shapeId="3076" r:id="rId5"/>
    <oleObject progId="Equation.3" shapeId="3077" r:id="rId6"/>
  </oleObjec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 enableFormatConditionsCalculation="0">
    <pageSetUpPr fitToPage="1"/>
  </sheetPr>
  <dimension ref="A1:BM56"/>
  <sheetViews>
    <sheetView showGridLines="0" showRowColHeaders="0" workbookViewId="0">
      <selection activeCell="BI28" sqref="BI28"/>
    </sheetView>
  </sheetViews>
  <sheetFormatPr defaultColWidth="9.140625" defaultRowHeight="12.75"/>
  <cols>
    <col min="1" max="1" width="2.85546875" customWidth="1"/>
    <col min="2" max="4" width="2.140625" customWidth="1"/>
    <col min="5" max="5" width="2.140625" style="1" customWidth="1"/>
    <col min="6" max="60" width="2.140625" customWidth="1"/>
  </cols>
  <sheetData>
    <row r="1" spans="1:44" ht="4.5" customHeight="1">
      <c r="A1" s="5"/>
      <c r="B1" s="5"/>
      <c r="C1" s="5"/>
      <c r="D1" s="5"/>
      <c r="E1" s="41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4">
      <c r="A2" s="5"/>
      <c r="B2" s="5"/>
      <c r="C2" s="5"/>
      <c r="D2" s="5"/>
      <c r="E2" s="41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</row>
    <row r="3" spans="1:44">
      <c r="A3" s="5"/>
      <c r="B3" s="5"/>
      <c r="C3" s="5"/>
      <c r="D3" s="5"/>
      <c r="E3" s="41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spans="1:44">
      <c r="A4" s="5"/>
      <c r="B4" s="5"/>
      <c r="C4" s="5"/>
      <c r="D4" s="5"/>
      <c r="E4" s="41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>
      <c r="A5" s="5"/>
      <c r="B5" s="5"/>
      <c r="C5" s="59">
        <f>AM27</f>
        <v>0</v>
      </c>
      <c r="D5" s="59"/>
      <c r="E5" s="59"/>
      <c r="F5" s="59"/>
      <c r="G5" s="59">
        <f t="shared" ref="G5:G25" si="0">EXP(-POWER((C5-AM$29)/AM$30,2))</f>
        <v>8.1598783507214826E-4</v>
      </c>
      <c r="H5" s="59"/>
      <c r="I5" s="59"/>
      <c r="J5" s="59"/>
      <c r="K5" s="59"/>
      <c r="L5" s="59"/>
      <c r="M5" s="83">
        <f t="shared" ref="M5:M25" si="1">(G5-MIN(G$5:G$25))/(MAX(G$5:G$25)-MIN(G$5:G$25))</f>
        <v>0</v>
      </c>
      <c r="N5" s="83"/>
      <c r="O5" s="83"/>
      <c r="P5" s="83"/>
      <c r="Q5" s="83"/>
      <c r="R5" s="83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>
      <c r="A6" s="5"/>
      <c r="B6" s="5"/>
      <c r="C6" s="59">
        <f t="shared" ref="C6:C24" si="2">C5+$AI$6</f>
        <v>100</v>
      </c>
      <c r="D6" s="59"/>
      <c r="E6" s="59"/>
      <c r="F6" s="59"/>
      <c r="G6" s="59">
        <f t="shared" si="0"/>
        <v>1.6322794952194585E-3</v>
      </c>
      <c r="H6" s="59"/>
      <c r="I6" s="59"/>
      <c r="J6" s="59"/>
      <c r="K6" s="59"/>
      <c r="L6" s="59"/>
      <c r="M6" s="83">
        <f t="shared" si="1"/>
        <v>8.1695828817222014E-4</v>
      </c>
      <c r="N6" s="83"/>
      <c r="O6" s="83"/>
      <c r="P6" s="83"/>
      <c r="Q6" s="83"/>
      <c r="R6" s="83"/>
      <c r="S6" s="5"/>
      <c r="T6" s="5"/>
      <c r="U6" s="5"/>
      <c r="V6" s="5"/>
      <c r="W6" s="5"/>
      <c r="X6" s="5"/>
      <c r="Y6" s="5"/>
      <c r="Z6" s="86" t="s">
        <v>0</v>
      </c>
      <c r="AA6" s="86"/>
      <c r="AB6" s="86"/>
      <c r="AC6" s="86"/>
      <c r="AD6" s="86"/>
      <c r="AE6" s="86"/>
      <c r="AF6" s="86"/>
      <c r="AG6" s="86"/>
      <c r="AH6" s="86"/>
      <c r="AI6" s="85">
        <f>(AM28-AM27)/20</f>
        <v>100</v>
      </c>
      <c r="AJ6" s="85"/>
      <c r="AK6" s="85"/>
      <c r="AL6" s="5"/>
      <c r="AM6" s="5"/>
      <c r="AN6" s="5"/>
      <c r="AO6" s="5"/>
      <c r="AP6" s="5"/>
      <c r="AQ6" s="5"/>
      <c r="AR6" s="5"/>
    </row>
    <row r="7" spans="1:44">
      <c r="A7" s="5"/>
      <c r="B7" s="5"/>
      <c r="C7" s="59">
        <f t="shared" si="2"/>
        <v>200</v>
      </c>
      <c r="D7" s="59"/>
      <c r="E7" s="59"/>
      <c r="F7" s="59"/>
      <c r="G7" s="59">
        <f t="shared" si="0"/>
        <v>3.1511115984444414E-3</v>
      </c>
      <c r="H7" s="59"/>
      <c r="I7" s="59"/>
      <c r="J7" s="59"/>
      <c r="K7" s="59"/>
      <c r="L7" s="59"/>
      <c r="M7" s="83">
        <f t="shared" si="1"/>
        <v>2.3370307520361442E-3</v>
      </c>
      <c r="N7" s="83"/>
      <c r="O7" s="83"/>
      <c r="P7" s="83"/>
      <c r="Q7" s="83"/>
      <c r="R7" s="83"/>
      <c r="S7" s="5"/>
      <c r="T7" s="5"/>
      <c r="U7" s="5"/>
      <c r="V7" s="5"/>
      <c r="W7" s="5"/>
      <c r="X7" s="5"/>
      <c r="Y7" s="5"/>
      <c r="Z7" s="79" t="s">
        <v>25</v>
      </c>
      <c r="AA7" s="79"/>
      <c r="AB7" s="79"/>
      <c r="AC7" s="79"/>
      <c r="AD7" s="79"/>
      <c r="AE7" s="79"/>
      <c r="AF7" s="79"/>
      <c r="AG7" s="79"/>
      <c r="AH7" s="79"/>
      <c r="AI7" s="5"/>
      <c r="AJ7" s="5"/>
      <c r="AK7" s="5"/>
      <c r="AL7" s="5"/>
      <c r="AM7" s="5"/>
      <c r="AN7" s="5"/>
      <c r="AO7" s="5"/>
      <c r="AP7" s="5"/>
      <c r="AQ7" s="5"/>
      <c r="AR7" s="5"/>
    </row>
    <row r="8" spans="1:44">
      <c r="A8" s="5"/>
      <c r="B8" s="5"/>
      <c r="C8" s="59">
        <f t="shared" si="2"/>
        <v>300</v>
      </c>
      <c r="D8" s="59"/>
      <c r="E8" s="59"/>
      <c r="F8" s="59"/>
      <c r="G8" s="59">
        <f t="shared" si="0"/>
        <v>5.8707212757384804E-3</v>
      </c>
      <c r="H8" s="59"/>
      <c r="I8" s="59"/>
      <c r="J8" s="59"/>
      <c r="K8" s="59"/>
      <c r="L8" s="59"/>
      <c r="M8" s="83">
        <f t="shared" si="1"/>
        <v>5.058861410036238E-3</v>
      </c>
      <c r="N8" s="83"/>
      <c r="O8" s="83"/>
      <c r="P8" s="83"/>
      <c r="Q8" s="83"/>
      <c r="R8" s="83"/>
      <c r="S8" s="5"/>
      <c r="T8" s="5"/>
      <c r="U8" s="5"/>
      <c r="V8" s="5"/>
      <c r="W8" s="5"/>
      <c r="X8" s="5"/>
      <c r="Y8" s="5"/>
      <c r="Z8" s="79"/>
      <c r="AA8" s="79"/>
      <c r="AB8" s="79"/>
      <c r="AC8" s="79"/>
      <c r="AD8" s="79"/>
      <c r="AE8" s="79"/>
      <c r="AF8" s="79"/>
      <c r="AG8" s="79"/>
      <c r="AH8" s="79"/>
      <c r="AI8" s="5"/>
      <c r="AJ8" s="5"/>
      <c r="AK8" s="5"/>
      <c r="AL8" s="5"/>
      <c r="AM8" s="5"/>
      <c r="AN8" s="5"/>
      <c r="AO8" s="5"/>
      <c r="AP8" s="5"/>
      <c r="AQ8" s="5"/>
      <c r="AR8" s="5"/>
    </row>
    <row r="9" spans="1:44">
      <c r="A9" s="5"/>
      <c r="B9" s="5"/>
      <c r="C9" s="59">
        <f t="shared" si="2"/>
        <v>400</v>
      </c>
      <c r="D9" s="59"/>
      <c r="E9" s="59"/>
      <c r="F9" s="59"/>
      <c r="G9" s="59">
        <f t="shared" si="0"/>
        <v>1.0555469566198799E-2</v>
      </c>
      <c r="H9" s="59"/>
      <c r="I9" s="59"/>
      <c r="J9" s="59"/>
      <c r="K9" s="59"/>
      <c r="L9" s="59"/>
      <c r="M9" s="83">
        <f t="shared" si="1"/>
        <v>9.7474355199340685E-3</v>
      </c>
      <c r="N9" s="83"/>
      <c r="O9" s="83"/>
      <c r="P9" s="83"/>
      <c r="Q9" s="83"/>
      <c r="R9" s="83"/>
      <c r="S9" s="5"/>
      <c r="T9" s="5"/>
      <c r="U9" s="5"/>
      <c r="V9" s="5"/>
      <c r="W9" s="5"/>
      <c r="X9" s="5"/>
      <c r="Y9" s="5"/>
      <c r="Z9" s="79"/>
      <c r="AA9" s="79"/>
      <c r="AB9" s="79"/>
      <c r="AC9" s="79"/>
      <c r="AD9" s="79"/>
      <c r="AE9" s="79"/>
      <c r="AF9" s="79"/>
      <c r="AG9" s="79"/>
      <c r="AH9" s="79"/>
      <c r="AI9" s="5"/>
      <c r="AJ9" s="5"/>
      <c r="AK9" s="5"/>
      <c r="AL9" s="5"/>
      <c r="AM9" s="5"/>
      <c r="AN9" s="5"/>
      <c r="AO9" s="5"/>
      <c r="AP9" s="5"/>
      <c r="AQ9" s="5"/>
      <c r="AR9" s="5"/>
    </row>
    <row r="10" spans="1:44">
      <c r="A10" s="5"/>
      <c r="B10" s="5"/>
      <c r="C10" s="59">
        <f t="shared" si="2"/>
        <v>500</v>
      </c>
      <c r="D10" s="59"/>
      <c r="E10" s="59"/>
      <c r="F10" s="59"/>
      <c r="G10" s="59">
        <f t="shared" si="0"/>
        <v>1.8315638888734179E-2</v>
      </c>
      <c r="H10" s="59"/>
      <c r="I10" s="59"/>
      <c r="J10" s="59"/>
      <c r="K10" s="59"/>
      <c r="L10" s="59"/>
      <c r="M10" s="83">
        <f t="shared" si="1"/>
        <v>1.7513942217455631E-2</v>
      </c>
      <c r="N10" s="83"/>
      <c r="O10" s="83"/>
      <c r="P10" s="83"/>
      <c r="Q10" s="83"/>
      <c r="R10" s="83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</row>
    <row r="11" spans="1:44">
      <c r="A11" s="5"/>
      <c r="B11" s="5"/>
      <c r="C11" s="59">
        <f t="shared" si="2"/>
        <v>600</v>
      </c>
      <c r="D11" s="59"/>
      <c r="E11" s="59"/>
      <c r="F11" s="59"/>
      <c r="G11" s="59">
        <f t="shared" si="0"/>
        <v>3.0670793026394055E-2</v>
      </c>
      <c r="H11" s="59"/>
      <c r="I11" s="59"/>
      <c r="J11" s="59"/>
      <c r="K11" s="59"/>
      <c r="L11" s="59"/>
      <c r="M11" s="83">
        <f t="shared" si="1"/>
        <v>2.9879186243818721E-2</v>
      </c>
      <c r="N11" s="83"/>
      <c r="O11" s="83"/>
      <c r="P11" s="83"/>
      <c r="Q11" s="83"/>
      <c r="R11" s="83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</row>
    <row r="12" spans="1:44">
      <c r="A12" s="5"/>
      <c r="B12" s="5"/>
      <c r="C12" s="59">
        <f t="shared" si="2"/>
        <v>700</v>
      </c>
      <c r="D12" s="59"/>
      <c r="E12" s="59"/>
      <c r="F12" s="59"/>
      <c r="G12" s="59">
        <f t="shared" si="0"/>
        <v>4.956628350491174E-2</v>
      </c>
      <c r="H12" s="59"/>
      <c r="I12" s="59"/>
      <c r="J12" s="59"/>
      <c r="K12" s="59"/>
      <c r="L12" s="59"/>
      <c r="M12" s="83">
        <f t="shared" si="1"/>
        <v>4.8790107804279746E-2</v>
      </c>
      <c r="N12" s="83"/>
      <c r="O12" s="83"/>
      <c r="P12" s="83"/>
      <c r="Q12" s="83"/>
      <c r="R12" s="83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</row>
    <row r="13" spans="1:44">
      <c r="A13" s="5"/>
      <c r="B13" s="5"/>
      <c r="C13" s="59">
        <f t="shared" si="2"/>
        <v>800</v>
      </c>
      <c r="D13" s="59"/>
      <c r="E13" s="59"/>
      <c r="F13" s="59"/>
      <c r="G13" s="59">
        <f t="shared" si="0"/>
        <v>7.7304740443299713E-2</v>
      </c>
      <c r="H13" s="59"/>
      <c r="I13" s="59"/>
      <c r="J13" s="59"/>
      <c r="K13" s="59"/>
      <c r="L13" s="59"/>
      <c r="M13" s="83">
        <f t="shared" si="1"/>
        <v>7.6551217470443411E-2</v>
      </c>
      <c r="N13" s="83"/>
      <c r="O13" s="83"/>
      <c r="P13" s="83"/>
      <c r="Q13" s="83"/>
      <c r="R13" s="83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</row>
    <row r="14" spans="1:44">
      <c r="A14" s="5"/>
      <c r="B14" s="5"/>
      <c r="C14" s="59">
        <f t="shared" si="2"/>
        <v>900</v>
      </c>
      <c r="D14" s="59"/>
      <c r="E14" s="59"/>
      <c r="F14" s="59"/>
      <c r="G14" s="59">
        <f t="shared" si="0"/>
        <v>0.1163548028087039</v>
      </c>
      <c r="H14" s="59"/>
      <c r="I14" s="59"/>
      <c r="J14" s="59"/>
      <c r="K14" s="59"/>
      <c r="L14" s="59"/>
      <c r="M14" s="83">
        <f t="shared" si="1"/>
        <v>0.11563317023387343</v>
      </c>
      <c r="N14" s="83"/>
      <c r="O14" s="83"/>
      <c r="P14" s="83"/>
      <c r="Q14" s="83"/>
      <c r="R14" s="83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</row>
    <row r="15" spans="1:44">
      <c r="A15" s="5"/>
      <c r="B15" s="5"/>
      <c r="C15" s="59">
        <f t="shared" si="2"/>
        <v>1000</v>
      </c>
      <c r="D15" s="59"/>
      <c r="E15" s="59"/>
      <c r="F15" s="59"/>
      <c r="G15" s="59">
        <f t="shared" si="0"/>
        <v>0.16901331540606609</v>
      </c>
      <c r="H15" s="59"/>
      <c r="I15" s="59"/>
      <c r="J15" s="59"/>
      <c r="K15" s="59"/>
      <c r="L15" s="59"/>
      <c r="M15" s="83">
        <f t="shared" si="1"/>
        <v>0.1683346866275027</v>
      </c>
      <c r="N15" s="83"/>
      <c r="O15" s="83"/>
      <c r="P15" s="83"/>
      <c r="Q15" s="83"/>
      <c r="R15" s="83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</row>
    <row r="16" spans="1:44">
      <c r="A16" s="5"/>
      <c r="B16" s="5"/>
      <c r="C16" s="59">
        <f t="shared" si="2"/>
        <v>1100</v>
      </c>
      <c r="D16" s="59"/>
      <c r="E16" s="59"/>
      <c r="F16" s="59"/>
      <c r="G16" s="59">
        <f t="shared" si="0"/>
        <v>0.23692775868212176</v>
      </c>
      <c r="H16" s="59"/>
      <c r="I16" s="59"/>
      <c r="J16" s="59"/>
      <c r="K16" s="59"/>
      <c r="L16" s="59"/>
      <c r="M16" s="83">
        <f t="shared" si="1"/>
        <v>0.23630459251991756</v>
      </c>
      <c r="N16" s="83"/>
      <c r="O16" s="83"/>
      <c r="P16" s="83"/>
      <c r="Q16" s="83"/>
      <c r="R16" s="83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</row>
    <row r="17" spans="1:44">
      <c r="A17" s="5"/>
      <c r="B17" s="5"/>
      <c r="C17" s="59">
        <f t="shared" si="2"/>
        <v>1200</v>
      </c>
      <c r="D17" s="59"/>
      <c r="E17" s="59"/>
      <c r="F17" s="59"/>
      <c r="G17" s="59">
        <f t="shared" si="0"/>
        <v>0.32053052101554125</v>
      </c>
      <c r="H17" s="59"/>
      <c r="I17" s="59"/>
      <c r="J17" s="59"/>
      <c r="K17" s="59"/>
      <c r="L17" s="59"/>
      <c r="M17" s="83">
        <f t="shared" si="1"/>
        <v>0.31997562940158036</v>
      </c>
      <c r="N17" s="83"/>
      <c r="O17" s="83"/>
      <c r="P17" s="83"/>
      <c r="Q17" s="83"/>
      <c r="R17" s="83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</row>
    <row r="18" spans="1:44">
      <c r="A18" s="5"/>
      <c r="B18" s="5"/>
      <c r="C18" s="59">
        <f t="shared" si="2"/>
        <v>1300</v>
      </c>
      <c r="D18" s="59"/>
      <c r="E18" s="59"/>
      <c r="F18" s="59"/>
      <c r="G18" s="59">
        <f t="shared" si="0"/>
        <v>0.41848630604256448</v>
      </c>
      <c r="H18" s="59"/>
      <c r="I18" s="59"/>
      <c r="J18" s="59"/>
      <c r="K18" s="59"/>
      <c r="L18" s="59"/>
      <c r="M18" s="83">
        <f t="shared" si="1"/>
        <v>0.41801141043332729</v>
      </c>
      <c r="N18" s="83"/>
      <c r="O18" s="83"/>
      <c r="P18" s="83"/>
      <c r="Q18" s="83"/>
      <c r="R18" s="83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</row>
    <row r="19" spans="1:44">
      <c r="A19" s="5"/>
      <c r="B19" s="5"/>
      <c r="C19" s="59">
        <f t="shared" si="2"/>
        <v>1400</v>
      </c>
      <c r="D19" s="59"/>
      <c r="E19" s="59"/>
      <c r="F19" s="59"/>
      <c r="G19" s="59">
        <f t="shared" si="0"/>
        <v>0.52729242404304855</v>
      </c>
      <c r="H19" s="59"/>
      <c r="I19" s="59"/>
      <c r="J19" s="59"/>
      <c r="K19" s="59"/>
      <c r="L19" s="59"/>
      <c r="M19" s="83">
        <f t="shared" si="1"/>
        <v>0.52690638540869172</v>
      </c>
      <c r="N19" s="83"/>
      <c r="O19" s="83"/>
      <c r="P19" s="83"/>
      <c r="Q19" s="83"/>
      <c r="R19" s="83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</row>
    <row r="20" spans="1:44">
      <c r="A20" s="5"/>
      <c r="B20" s="5"/>
      <c r="C20" s="59">
        <f t="shared" si="2"/>
        <v>1500</v>
      </c>
      <c r="D20" s="59"/>
      <c r="E20" s="59"/>
      <c r="F20" s="59"/>
      <c r="G20" s="59">
        <f t="shared" si="0"/>
        <v>0.64118038842995462</v>
      </c>
      <c r="H20" s="59"/>
      <c r="I20" s="59"/>
      <c r="J20" s="59"/>
      <c r="K20" s="59"/>
      <c r="L20" s="59"/>
      <c r="M20" s="83">
        <f t="shared" si="1"/>
        <v>0.64088735688174947</v>
      </c>
      <c r="N20" s="83"/>
      <c r="O20" s="83"/>
      <c r="P20" s="83"/>
      <c r="Q20" s="83"/>
      <c r="R20" s="83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</row>
    <row r="21" spans="1:44">
      <c r="A21" s="5"/>
      <c r="B21" s="5"/>
      <c r="C21" s="59">
        <f t="shared" si="2"/>
        <v>1600</v>
      </c>
      <c r="D21" s="59"/>
      <c r="E21" s="59"/>
      <c r="F21" s="59"/>
      <c r="G21" s="59">
        <f t="shared" si="0"/>
        <v>0.75243215608930325</v>
      </c>
      <c r="H21" s="59"/>
      <c r="I21" s="59"/>
      <c r="J21" s="59"/>
      <c r="K21" s="59"/>
      <c r="L21" s="59"/>
      <c r="M21" s="83">
        <f t="shared" si="1"/>
        <v>0.75222997876608078</v>
      </c>
      <c r="N21" s="83"/>
      <c r="O21" s="83"/>
      <c r="P21" s="83"/>
      <c r="Q21" s="83"/>
      <c r="R21" s="83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</row>
    <row r="22" spans="1:44">
      <c r="A22" s="5"/>
      <c r="B22" s="5"/>
      <c r="C22" s="59">
        <f t="shared" si="2"/>
        <v>1700</v>
      </c>
      <c r="D22" s="59"/>
      <c r="E22" s="59"/>
      <c r="F22" s="59"/>
      <c r="G22" s="59">
        <f t="shared" si="0"/>
        <v>0.85214378896621135</v>
      </c>
      <c r="H22" s="59"/>
      <c r="I22" s="59"/>
      <c r="J22" s="59"/>
      <c r="K22" s="59"/>
      <c r="L22" s="59"/>
      <c r="M22" s="83">
        <f t="shared" si="1"/>
        <v>0.85202304156826003</v>
      </c>
      <c r="N22" s="83"/>
      <c r="O22" s="83"/>
      <c r="P22" s="83"/>
      <c r="Q22" s="83"/>
      <c r="R22" s="83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</row>
    <row r="23" spans="1:44">
      <c r="A23" s="5"/>
      <c r="B23" s="5"/>
      <c r="C23" s="59">
        <f t="shared" si="2"/>
        <v>1800</v>
      </c>
      <c r="D23" s="59"/>
      <c r="E23" s="59"/>
      <c r="F23" s="59"/>
      <c r="G23" s="59">
        <f t="shared" si="0"/>
        <v>0.93135840211135201</v>
      </c>
      <c r="H23" s="59"/>
      <c r="I23" s="59"/>
      <c r="J23" s="59"/>
      <c r="K23" s="59"/>
      <c r="L23" s="59"/>
      <c r="M23" s="83">
        <f t="shared" si="1"/>
        <v>0.93130234566111347</v>
      </c>
      <c r="N23" s="83"/>
      <c r="O23" s="83"/>
      <c r="P23" s="83"/>
      <c r="Q23" s="83"/>
      <c r="R23" s="83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</row>
    <row r="24" spans="1:44">
      <c r="A24" s="5"/>
      <c r="B24" s="5"/>
      <c r="C24" s="59">
        <f t="shared" si="2"/>
        <v>1900</v>
      </c>
      <c r="D24" s="59"/>
      <c r="E24" s="59"/>
      <c r="F24" s="59"/>
      <c r="G24" s="59">
        <f t="shared" si="0"/>
        <v>0.98237931461817762</v>
      </c>
      <c r="H24" s="59"/>
      <c r="I24" s="59"/>
      <c r="J24" s="59"/>
      <c r="K24" s="59"/>
      <c r="L24" s="59"/>
      <c r="M24" s="83">
        <f t="shared" si="1"/>
        <v>0.98236492461118974</v>
      </c>
      <c r="N24" s="83"/>
      <c r="O24" s="83"/>
      <c r="P24" s="83"/>
      <c r="Q24" s="83"/>
      <c r="R24" s="83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</row>
    <row r="25" spans="1:44">
      <c r="A25" s="5"/>
      <c r="B25" s="5"/>
      <c r="C25" s="59">
        <f>AM28</f>
        <v>2000</v>
      </c>
      <c r="D25" s="59"/>
      <c r="E25" s="59"/>
      <c r="F25" s="59"/>
      <c r="G25" s="59">
        <f t="shared" si="0"/>
        <v>1</v>
      </c>
      <c r="H25" s="59"/>
      <c r="I25" s="59"/>
      <c r="J25" s="59"/>
      <c r="K25" s="59"/>
      <c r="L25" s="59"/>
      <c r="M25" s="83">
        <f t="shared" si="1"/>
        <v>1</v>
      </c>
      <c r="N25" s="83"/>
      <c r="O25" s="83"/>
      <c r="P25" s="83"/>
      <c r="Q25" s="83"/>
      <c r="R25" s="83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</row>
    <row r="26" spans="1:44">
      <c r="A26" s="5"/>
      <c r="B26" s="5"/>
      <c r="C26" s="5"/>
      <c r="D26" s="5"/>
      <c r="E26" s="4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</row>
    <row r="27" spans="1:44">
      <c r="A27" s="5"/>
      <c r="B27" s="5"/>
      <c r="C27" s="5"/>
      <c r="D27" s="5"/>
      <c r="E27" s="41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39"/>
      <c r="R27" s="39"/>
      <c r="S27" s="39"/>
      <c r="T27" s="39"/>
      <c r="U27" s="23"/>
      <c r="V27" s="35"/>
      <c r="W27" s="35"/>
      <c r="X27" s="35"/>
      <c r="Y27" s="23"/>
      <c r="Z27" s="5"/>
      <c r="AA27" s="86" t="s">
        <v>13</v>
      </c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5">
        <v>0</v>
      </c>
      <c r="AN27" s="85"/>
      <c r="AO27" s="85"/>
      <c r="AP27" s="85"/>
      <c r="AQ27" s="85"/>
      <c r="AR27" s="5"/>
    </row>
    <row r="28" spans="1:44">
      <c r="A28" s="5"/>
      <c r="B28" s="5"/>
      <c r="C28" s="5"/>
      <c r="D28" s="5"/>
      <c r="E28" s="41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39"/>
      <c r="R28" s="39"/>
      <c r="S28" s="39"/>
      <c r="T28" s="39"/>
      <c r="U28" s="23"/>
      <c r="V28" s="35"/>
      <c r="W28" s="35"/>
      <c r="X28" s="35"/>
      <c r="Y28" s="23"/>
      <c r="Z28" s="5"/>
      <c r="AA28" s="86" t="s">
        <v>14</v>
      </c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5">
        <v>2000</v>
      </c>
      <c r="AN28" s="85"/>
      <c r="AO28" s="85"/>
      <c r="AP28" s="85"/>
      <c r="AQ28" s="85"/>
      <c r="AR28" s="5"/>
    </row>
    <row r="29" spans="1:44" ht="12.75" customHeight="1">
      <c r="A29" s="5"/>
      <c r="B29" s="5"/>
      <c r="C29" s="5"/>
      <c r="D29" s="5"/>
      <c r="E29" s="41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47"/>
      <c r="R29" s="47"/>
      <c r="S29" s="47"/>
      <c r="T29" s="47"/>
      <c r="U29" s="23"/>
      <c r="V29" s="40"/>
      <c r="W29" s="40"/>
      <c r="X29" s="40"/>
      <c r="Y29" s="23"/>
      <c r="Z29" s="5"/>
      <c r="AA29" s="88" t="s">
        <v>17</v>
      </c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7">
        <v>2000</v>
      </c>
      <c r="AN29" s="87"/>
      <c r="AO29" s="87"/>
      <c r="AP29" s="87"/>
      <c r="AQ29" s="87"/>
      <c r="AR29" s="5"/>
    </row>
    <row r="30" spans="1:44">
      <c r="A30" s="5"/>
      <c r="B30" s="5"/>
      <c r="C30" s="5"/>
      <c r="D30" s="5"/>
      <c r="E30" s="41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39"/>
      <c r="R30" s="39"/>
      <c r="S30" s="39"/>
      <c r="T30" s="39"/>
      <c r="U30" s="23"/>
      <c r="V30" s="35"/>
      <c r="W30" s="35"/>
      <c r="X30" s="35"/>
      <c r="Y30" s="23"/>
      <c r="Z30" s="5"/>
      <c r="AA30" s="86" t="s">
        <v>3</v>
      </c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5">
        <v>750</v>
      </c>
      <c r="AN30" s="85"/>
      <c r="AO30" s="85"/>
      <c r="AP30" s="85"/>
      <c r="AQ30" s="85"/>
      <c r="AR30" s="5"/>
    </row>
    <row r="31" spans="1:44">
      <c r="A31" s="5"/>
      <c r="B31" s="5"/>
      <c r="C31" s="5"/>
      <c r="D31" s="5"/>
      <c r="E31" s="5"/>
      <c r="F31" s="5"/>
      <c r="G31" s="5"/>
      <c r="H31" s="5"/>
      <c r="I31" s="5"/>
      <c r="J31" s="31" t="s">
        <v>19</v>
      </c>
      <c r="K31" s="80" t="s">
        <v>20</v>
      </c>
      <c r="L31" s="80"/>
      <c r="M31" s="80"/>
      <c r="N31" s="80"/>
      <c r="O31" s="80"/>
      <c r="P31" s="80"/>
      <c r="Q31" s="80"/>
      <c r="R31" s="80"/>
      <c r="S31" s="39"/>
      <c r="T31" s="39"/>
      <c r="U31" s="23"/>
      <c r="V31" s="39"/>
      <c r="W31" s="39"/>
      <c r="X31" s="39"/>
      <c r="Y31" s="23"/>
      <c r="Z31" s="5"/>
      <c r="AA31" s="86" t="s">
        <v>9</v>
      </c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54" t="s">
        <v>21</v>
      </c>
      <c r="AN31" s="54"/>
      <c r="AO31" s="54"/>
      <c r="AP31" s="54"/>
      <c r="AQ31" s="54"/>
      <c r="AR31" s="5"/>
    </row>
    <row r="32" spans="1:44">
      <c r="A32" s="5"/>
      <c r="B32" s="5"/>
      <c r="C32" s="5"/>
      <c r="D32" s="8"/>
      <c r="E32" s="41"/>
      <c r="F32" s="5"/>
      <c r="G32" s="5"/>
      <c r="H32" s="12"/>
      <c r="I32" s="12"/>
      <c r="J32" s="31" t="s">
        <v>19</v>
      </c>
      <c r="K32" s="82">
        <f>VALUE(AM29)</f>
        <v>2000</v>
      </c>
      <c r="L32" s="82"/>
      <c r="M32" s="82"/>
      <c r="N32" s="82"/>
      <c r="O32" s="82"/>
      <c r="P32" s="82"/>
      <c r="Q32" s="82"/>
      <c r="R32" s="82"/>
      <c r="S32" s="5"/>
      <c r="T32" s="5"/>
      <c r="U32" s="5"/>
      <c r="V32" s="5"/>
      <c r="W32" s="5"/>
      <c r="X32" s="5"/>
      <c r="Y32" s="5"/>
      <c r="Z32" s="5"/>
      <c r="AA32" s="34"/>
      <c r="AB32" s="34"/>
      <c r="AC32" s="34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</row>
    <row r="33" spans="1:65" ht="12.75" customHeight="1">
      <c r="A33" s="5"/>
      <c r="B33" s="5"/>
      <c r="C33" s="5"/>
      <c r="D33" s="8"/>
      <c r="E33" s="41"/>
      <c r="F33" s="5"/>
      <c r="G33" s="5"/>
      <c r="H33" s="12"/>
      <c r="I33" s="12"/>
      <c r="J33" s="32" t="s">
        <v>19</v>
      </c>
      <c r="K33" s="82">
        <f>VALUE(AM30)</f>
        <v>750</v>
      </c>
      <c r="L33" s="82"/>
      <c r="M33" s="82"/>
      <c r="N33" s="82"/>
      <c r="O33" s="82"/>
      <c r="P33" s="82"/>
      <c r="Q33" s="82"/>
      <c r="R33" s="82"/>
      <c r="S33" s="5"/>
      <c r="T33" s="5"/>
      <c r="U33" s="56" t="s">
        <v>23</v>
      </c>
      <c r="V33" s="56"/>
      <c r="W33" s="56"/>
      <c r="X33" s="56"/>
      <c r="Y33" s="56"/>
      <c r="Z33" s="56"/>
      <c r="AA33" s="56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</row>
    <row r="34" spans="1:65">
      <c r="A34" s="5"/>
      <c r="B34" s="5"/>
      <c r="C34" s="5"/>
      <c r="D34" s="19"/>
      <c r="E34" s="41"/>
      <c r="F34" s="5"/>
      <c r="G34" s="5"/>
      <c r="H34" s="27"/>
      <c r="I34" s="27"/>
      <c r="J34" s="32" t="s">
        <v>19</v>
      </c>
      <c r="K34" s="81">
        <f>MIN(G5:G25)</f>
        <v>8.1598783507214826E-4</v>
      </c>
      <c r="L34" s="81"/>
      <c r="M34" s="81"/>
      <c r="N34" s="81"/>
      <c r="O34" s="81"/>
      <c r="P34" s="81"/>
      <c r="Q34" s="81"/>
      <c r="R34" s="81"/>
      <c r="S34" s="5"/>
      <c r="T34" s="5"/>
      <c r="U34" s="56"/>
      <c r="V34" s="56"/>
      <c r="W34" s="56"/>
      <c r="X34" s="56"/>
      <c r="Y34" s="56"/>
      <c r="Z34" s="56"/>
      <c r="AA34" s="56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</row>
    <row r="35" spans="1:65">
      <c r="A35" s="5"/>
      <c r="B35" s="5"/>
      <c r="C35" s="5"/>
      <c r="D35" s="19"/>
      <c r="E35" s="41"/>
      <c r="F35" s="5"/>
      <c r="G35" s="5"/>
      <c r="H35" s="26"/>
      <c r="I35" s="26"/>
      <c r="J35" s="32" t="s">
        <v>19</v>
      </c>
      <c r="K35" s="82">
        <f>MAX(G5:G25)</f>
        <v>1</v>
      </c>
      <c r="L35" s="82"/>
      <c r="M35" s="82"/>
      <c r="N35" s="82"/>
      <c r="O35" s="82"/>
      <c r="P35" s="82"/>
      <c r="Q35" s="82"/>
      <c r="R35" s="82"/>
      <c r="S35" s="5"/>
      <c r="T35" s="5"/>
      <c r="U35" s="56"/>
      <c r="V35" s="56"/>
      <c r="W35" s="56"/>
      <c r="X35" s="56"/>
      <c r="Y35" s="56"/>
      <c r="Z35" s="56"/>
      <c r="AA35" s="56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</row>
    <row r="36" spans="1:65">
      <c r="A36" s="5"/>
      <c r="B36" s="5"/>
      <c r="C36" s="5"/>
      <c r="D36" s="19"/>
      <c r="E36" s="41"/>
      <c r="F36" s="5"/>
      <c r="G36" s="5"/>
      <c r="H36" s="26"/>
      <c r="I36" s="26"/>
      <c r="J36" s="26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30"/>
      <c r="W36" s="30"/>
      <c r="X36" s="30"/>
      <c r="Y36" s="30"/>
      <c r="Z36" s="30"/>
      <c r="AA36" s="30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</row>
    <row r="37" spans="1:65">
      <c r="A37" s="5"/>
      <c r="C37" s="80" t="s">
        <v>22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12"/>
      <c r="AR37" s="5"/>
    </row>
    <row r="38" spans="1:65">
      <c r="A38" s="5"/>
      <c r="B38" s="8"/>
      <c r="C38" s="84" t="str">
        <f>"funcion_de_valor=((exp  ((mapa_atributo-"&amp;VALUE(AM29)&amp;")/"&amp;VALUE(AM30)&amp;",  2))-("&amp;MIN(G5:G25)&amp;"))/(("&amp;MAX(G5:G25)&amp;")-("&amp;MIN(G5:G25)&amp;"))"</f>
        <v>funcion_de_valor=((exp  ((mapa_atributo-2000)/750,  2))-(0.000815987835072148))/((1)-(0.000815987835072148))</v>
      </c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20"/>
      <c r="AR38" s="5"/>
    </row>
    <row r="39" spans="1:65" ht="6" customHeight="1" thickBo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BH39" s="10"/>
      <c r="BK39" s="10"/>
      <c r="BM39" s="5"/>
    </row>
    <row r="40" spans="1:65" ht="13.5" customHeight="1" thickBot="1">
      <c r="A40" s="5"/>
      <c r="B40" s="65" t="s">
        <v>4</v>
      </c>
      <c r="C40" s="66"/>
      <c r="D40" s="66"/>
      <c r="E40" s="66"/>
      <c r="F40" s="66"/>
      <c r="G40" s="66"/>
      <c r="H40" s="66"/>
      <c r="I40" s="66"/>
      <c r="J40" s="66"/>
      <c r="K40" s="66"/>
      <c r="L40" s="67"/>
      <c r="M40" s="89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1"/>
      <c r="AR40" s="5"/>
      <c r="AV40" s="31"/>
    </row>
    <row r="41" spans="1:65" ht="13.5" customHeight="1" thickBot="1">
      <c r="A41" s="5"/>
      <c r="B41" s="65" t="s">
        <v>10</v>
      </c>
      <c r="C41" s="66"/>
      <c r="D41" s="66"/>
      <c r="E41" s="66"/>
      <c r="F41" s="66"/>
      <c r="G41" s="66"/>
      <c r="H41" s="66"/>
      <c r="I41" s="66"/>
      <c r="J41" s="66"/>
      <c r="K41" s="66"/>
      <c r="L41" s="67"/>
      <c r="M41" s="89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1"/>
      <c r="AR41" s="5"/>
      <c r="AV41" s="31"/>
    </row>
    <row r="42" spans="1:65" ht="27" customHeight="1" thickBot="1">
      <c r="A42" s="5"/>
      <c r="B42" s="65" t="s">
        <v>12</v>
      </c>
      <c r="C42" s="66"/>
      <c r="D42" s="66"/>
      <c r="E42" s="66"/>
      <c r="F42" s="66"/>
      <c r="G42" s="66"/>
      <c r="H42" s="66"/>
      <c r="I42" s="66"/>
      <c r="J42" s="66"/>
      <c r="K42" s="66"/>
      <c r="L42" s="67"/>
      <c r="M42" s="89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1"/>
      <c r="AR42" s="5"/>
      <c r="AV42" s="32"/>
    </row>
    <row r="43" spans="1:65" ht="13.5" customHeight="1" thickBot="1">
      <c r="A43" s="5"/>
      <c r="B43" s="65" t="s">
        <v>5</v>
      </c>
      <c r="C43" s="66"/>
      <c r="D43" s="66"/>
      <c r="E43" s="66"/>
      <c r="F43" s="66"/>
      <c r="G43" s="66"/>
      <c r="H43" s="66"/>
      <c r="I43" s="66"/>
      <c r="J43" s="66"/>
      <c r="K43" s="66"/>
      <c r="L43" s="67"/>
      <c r="M43" s="89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1"/>
      <c r="AR43" s="5"/>
      <c r="AV43" s="32"/>
    </row>
    <row r="44" spans="1:65" ht="13.5" customHeight="1" thickBot="1">
      <c r="A44" s="5"/>
      <c r="B44" s="65" t="s">
        <v>6</v>
      </c>
      <c r="C44" s="66"/>
      <c r="D44" s="66"/>
      <c r="E44" s="66"/>
      <c r="F44" s="66"/>
      <c r="G44" s="66"/>
      <c r="H44" s="66"/>
      <c r="I44" s="66"/>
      <c r="J44" s="66"/>
      <c r="K44" s="66"/>
      <c r="L44" s="67"/>
      <c r="M44" s="89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90"/>
      <c r="AP44" s="90"/>
      <c r="AQ44" s="91"/>
      <c r="AR44" s="5"/>
      <c r="AV44" s="32"/>
    </row>
    <row r="45" spans="1:65" ht="12.75" customHeight="1" thickBot="1">
      <c r="A45" s="5"/>
      <c r="B45" s="65" t="s">
        <v>7</v>
      </c>
      <c r="C45" s="66"/>
      <c r="D45" s="66"/>
      <c r="E45" s="66"/>
      <c r="F45" s="66"/>
      <c r="G45" s="66"/>
      <c r="H45" s="66"/>
      <c r="I45" s="66"/>
      <c r="J45" s="66"/>
      <c r="K45" s="66"/>
      <c r="L45" s="67"/>
      <c r="M45" s="92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4"/>
      <c r="AR45" s="5"/>
    </row>
    <row r="46" spans="1:65" ht="13.5" thickBot="1">
      <c r="A46" s="5"/>
      <c r="B46" s="65"/>
      <c r="C46" s="66"/>
      <c r="D46" s="66"/>
      <c r="E46" s="66"/>
      <c r="F46" s="66"/>
      <c r="G46" s="66"/>
      <c r="H46" s="66"/>
      <c r="I46" s="66"/>
      <c r="J46" s="66"/>
      <c r="K46" s="66"/>
      <c r="L46" s="67"/>
      <c r="M46" s="95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7"/>
      <c r="AR46" s="5"/>
    </row>
    <row r="47" spans="1:65" ht="13.5" thickBot="1">
      <c r="A47" s="5"/>
      <c r="B47" s="65"/>
      <c r="C47" s="66"/>
      <c r="D47" s="66"/>
      <c r="E47" s="66"/>
      <c r="F47" s="66"/>
      <c r="G47" s="66"/>
      <c r="H47" s="66"/>
      <c r="I47" s="66"/>
      <c r="J47" s="66"/>
      <c r="K47" s="66"/>
      <c r="L47" s="67"/>
      <c r="M47" s="95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7"/>
      <c r="AR47" s="5"/>
    </row>
    <row r="48" spans="1:65" ht="13.5" thickBot="1">
      <c r="A48" s="5"/>
      <c r="B48" s="65"/>
      <c r="C48" s="66"/>
      <c r="D48" s="66"/>
      <c r="E48" s="66"/>
      <c r="F48" s="66"/>
      <c r="G48" s="66"/>
      <c r="H48" s="66"/>
      <c r="I48" s="66"/>
      <c r="J48" s="66"/>
      <c r="K48" s="66"/>
      <c r="L48" s="67"/>
      <c r="M48" s="95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7"/>
      <c r="AR48" s="5"/>
    </row>
    <row r="49" spans="1:44" ht="13.5" thickBot="1">
      <c r="A49" s="5"/>
      <c r="B49" s="65"/>
      <c r="C49" s="66"/>
      <c r="D49" s="66"/>
      <c r="E49" s="66"/>
      <c r="F49" s="66"/>
      <c r="G49" s="66"/>
      <c r="H49" s="66"/>
      <c r="I49" s="66"/>
      <c r="J49" s="66"/>
      <c r="K49" s="66"/>
      <c r="L49" s="67"/>
      <c r="M49" s="95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7"/>
      <c r="AR49" s="5"/>
    </row>
    <row r="50" spans="1:44" ht="13.5" thickBot="1">
      <c r="A50" s="5"/>
      <c r="B50" s="65"/>
      <c r="C50" s="66"/>
      <c r="D50" s="66"/>
      <c r="E50" s="66"/>
      <c r="F50" s="66"/>
      <c r="G50" s="66"/>
      <c r="H50" s="66"/>
      <c r="I50" s="66"/>
      <c r="J50" s="66"/>
      <c r="K50" s="66"/>
      <c r="L50" s="67"/>
      <c r="M50" s="95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7"/>
      <c r="AR50" s="5"/>
    </row>
    <row r="51" spans="1:44" ht="13.5" thickBot="1">
      <c r="A51" s="5"/>
      <c r="B51" s="65"/>
      <c r="C51" s="66"/>
      <c r="D51" s="66"/>
      <c r="E51" s="66"/>
      <c r="F51" s="66"/>
      <c r="G51" s="66"/>
      <c r="H51" s="66"/>
      <c r="I51" s="66"/>
      <c r="J51" s="66"/>
      <c r="K51" s="66"/>
      <c r="L51" s="67"/>
      <c r="M51" s="95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7"/>
      <c r="AR51" s="5"/>
    </row>
    <row r="52" spans="1:44" ht="13.5" thickBot="1">
      <c r="A52" s="5"/>
      <c r="B52" s="65"/>
      <c r="C52" s="66"/>
      <c r="D52" s="66"/>
      <c r="E52" s="66"/>
      <c r="F52" s="66"/>
      <c r="G52" s="66"/>
      <c r="H52" s="66"/>
      <c r="I52" s="66"/>
      <c r="J52" s="66"/>
      <c r="K52" s="66"/>
      <c r="L52" s="67"/>
      <c r="M52" s="95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7"/>
      <c r="AR52" s="5"/>
    </row>
    <row r="53" spans="1:44" ht="13.5" thickBot="1">
      <c r="A53" s="5"/>
      <c r="B53" s="65"/>
      <c r="C53" s="66"/>
      <c r="D53" s="66"/>
      <c r="E53" s="66"/>
      <c r="F53" s="66"/>
      <c r="G53" s="66"/>
      <c r="H53" s="66"/>
      <c r="I53" s="66"/>
      <c r="J53" s="66"/>
      <c r="K53" s="66"/>
      <c r="L53" s="67"/>
      <c r="M53" s="98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  <c r="AF53" s="99"/>
      <c r="AG53" s="99"/>
      <c r="AH53" s="99"/>
      <c r="AI53" s="99"/>
      <c r="AJ53" s="99"/>
      <c r="AK53" s="99"/>
      <c r="AL53" s="99"/>
      <c r="AM53" s="99"/>
      <c r="AN53" s="99"/>
      <c r="AO53" s="99"/>
      <c r="AP53" s="99"/>
      <c r="AQ53" s="100"/>
      <c r="AR53" s="5"/>
    </row>
    <row r="54" spans="1:44" ht="27" customHeight="1" thickBot="1">
      <c r="A54" s="5"/>
      <c r="B54" s="65" t="s">
        <v>11</v>
      </c>
      <c r="C54" s="66"/>
      <c r="D54" s="66"/>
      <c r="E54" s="66"/>
      <c r="F54" s="66"/>
      <c r="G54" s="66"/>
      <c r="H54" s="66"/>
      <c r="I54" s="66"/>
      <c r="J54" s="66"/>
      <c r="K54" s="66"/>
      <c r="L54" s="67"/>
      <c r="M54" s="89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90"/>
      <c r="AJ54" s="90"/>
      <c r="AK54" s="90"/>
      <c r="AL54" s="90"/>
      <c r="AM54" s="90"/>
      <c r="AN54" s="90"/>
      <c r="AO54" s="90"/>
      <c r="AP54" s="90"/>
      <c r="AQ54" s="91"/>
      <c r="AR54" s="5"/>
    </row>
    <row r="55" spans="1:44" ht="13.5" customHeight="1" thickBot="1">
      <c r="A55" s="5"/>
      <c r="B55" s="65" t="s">
        <v>8</v>
      </c>
      <c r="C55" s="66"/>
      <c r="D55" s="66"/>
      <c r="E55" s="66"/>
      <c r="F55" s="66"/>
      <c r="G55" s="66"/>
      <c r="H55" s="66"/>
      <c r="I55" s="66"/>
      <c r="J55" s="66"/>
      <c r="K55" s="66"/>
      <c r="L55" s="67"/>
      <c r="M55" s="89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  <c r="AJ55" s="90"/>
      <c r="AK55" s="90"/>
      <c r="AL55" s="90"/>
      <c r="AM55" s="90"/>
      <c r="AN55" s="90"/>
      <c r="AO55" s="90"/>
      <c r="AP55" s="90"/>
      <c r="AQ55" s="91"/>
      <c r="AR55" s="5"/>
    </row>
    <row r="56" spans="1:44">
      <c r="A56" s="5"/>
      <c r="B56" s="5"/>
      <c r="C56" s="5"/>
      <c r="D56" s="5"/>
      <c r="E56" s="41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</row>
  </sheetData>
  <mergeCells count="108">
    <mergeCell ref="M54:AQ54"/>
    <mergeCell ref="M55:AQ55"/>
    <mergeCell ref="B55:L55"/>
    <mergeCell ref="M40:AQ40"/>
    <mergeCell ref="M41:AQ41"/>
    <mergeCell ref="M42:AQ42"/>
    <mergeCell ref="M43:AQ43"/>
    <mergeCell ref="M44:AQ44"/>
    <mergeCell ref="M45:AQ45"/>
    <mergeCell ref="M46:AQ46"/>
    <mergeCell ref="M47:AQ47"/>
    <mergeCell ref="M48:AQ48"/>
    <mergeCell ref="M49:AQ49"/>
    <mergeCell ref="M50:AQ50"/>
    <mergeCell ref="M51:AQ51"/>
    <mergeCell ref="M52:AQ52"/>
    <mergeCell ref="M53:AQ53"/>
    <mergeCell ref="B40:L40"/>
    <mergeCell ref="B41:L41"/>
    <mergeCell ref="B42:L42"/>
    <mergeCell ref="B43:L43"/>
    <mergeCell ref="B44:L44"/>
    <mergeCell ref="AA27:AL27"/>
    <mergeCell ref="AA28:AL28"/>
    <mergeCell ref="AA29:AL29"/>
    <mergeCell ref="AA30:AL30"/>
    <mergeCell ref="AA31:AL31"/>
    <mergeCell ref="G25:L25"/>
    <mergeCell ref="C25:F25"/>
    <mergeCell ref="K32:R32"/>
    <mergeCell ref="K33:R33"/>
    <mergeCell ref="K34:R34"/>
    <mergeCell ref="K35:R35"/>
    <mergeCell ref="U33:AA35"/>
    <mergeCell ref="G11:L11"/>
    <mergeCell ref="G12:L12"/>
    <mergeCell ref="G13:L13"/>
    <mergeCell ref="AM27:AQ27"/>
    <mergeCell ref="AM28:AQ28"/>
    <mergeCell ref="AM29:AQ29"/>
    <mergeCell ref="AM30:AQ30"/>
    <mergeCell ref="M25:R25"/>
    <mergeCell ref="K31:R31"/>
    <mergeCell ref="AM31:AQ31"/>
    <mergeCell ref="G20:L20"/>
    <mergeCell ref="G21:L21"/>
    <mergeCell ref="G22:L22"/>
    <mergeCell ref="G23:L23"/>
    <mergeCell ref="G24:L24"/>
    <mergeCell ref="M24:R24"/>
    <mergeCell ref="G14:L14"/>
    <mergeCell ref="G15:L15"/>
    <mergeCell ref="G16:L16"/>
    <mergeCell ref="G17:L17"/>
    <mergeCell ref="G18:L18"/>
    <mergeCell ref="G19:L19"/>
    <mergeCell ref="C5:F5"/>
    <mergeCell ref="C6:F6"/>
    <mergeCell ref="C8:F8"/>
    <mergeCell ref="C7:F7"/>
    <mergeCell ref="C9:F9"/>
    <mergeCell ref="C10:F10"/>
    <mergeCell ref="C11:F11"/>
    <mergeCell ref="C12:F12"/>
    <mergeCell ref="C13:F13"/>
    <mergeCell ref="C14:F14"/>
    <mergeCell ref="C15:F15"/>
    <mergeCell ref="C16:F16"/>
    <mergeCell ref="G5:L5"/>
    <mergeCell ref="G6:L6"/>
    <mergeCell ref="G7:L7"/>
    <mergeCell ref="G8:L8"/>
    <mergeCell ref="G9:L9"/>
    <mergeCell ref="G10:L10"/>
    <mergeCell ref="M19:R19"/>
    <mergeCell ref="M20:R20"/>
    <mergeCell ref="M21:R21"/>
    <mergeCell ref="M22:R22"/>
    <mergeCell ref="M23:R23"/>
    <mergeCell ref="M11:R11"/>
    <mergeCell ref="M12:R12"/>
    <mergeCell ref="M13:R13"/>
    <mergeCell ref="M14:R14"/>
    <mergeCell ref="M15:R15"/>
    <mergeCell ref="M5:R5"/>
    <mergeCell ref="M6:R6"/>
    <mergeCell ref="M7:R7"/>
    <mergeCell ref="M8:R8"/>
    <mergeCell ref="M9:R9"/>
    <mergeCell ref="M10:R10"/>
    <mergeCell ref="B45:L53"/>
    <mergeCell ref="B54:L54"/>
    <mergeCell ref="C38:AP38"/>
    <mergeCell ref="C37:AP37"/>
    <mergeCell ref="C17:F17"/>
    <mergeCell ref="C18:F18"/>
    <mergeCell ref="C20:F20"/>
    <mergeCell ref="C21:F21"/>
    <mergeCell ref="C22:F22"/>
    <mergeCell ref="C23:F23"/>
    <mergeCell ref="C24:F24"/>
    <mergeCell ref="C19:F19"/>
    <mergeCell ref="AI6:AK6"/>
    <mergeCell ref="Z6:AH6"/>
    <mergeCell ref="Z7:AH9"/>
    <mergeCell ref="M16:R16"/>
    <mergeCell ref="M17:R17"/>
    <mergeCell ref="M18:R18"/>
  </mergeCells>
  <phoneticPr fontId="1" type="noConversion"/>
  <pageMargins left="0.25" right="0.25" top="0.75" bottom="0.75" header="0.3" footer="0.3"/>
  <pageSetup orientation="portrait" horizontalDpi="0" verticalDpi="0" r:id="rId1"/>
  <headerFooter alignWithMargins="0"/>
  <drawing r:id="rId2"/>
  <legacyDrawing r:id="rId3"/>
  <oleObjects>
    <oleObject progId="Equation.3" shapeId="4098" r:id="rId4"/>
    <oleObject progId="Equation.3" shapeId="4099" r:id="rId5"/>
    <oleObject progId="Equation.3" shapeId="4100" r:id="rId6"/>
    <oleObject progId="Equation.3" shapeId="4101" r:id="rId7"/>
    <oleObject progId="Equation.3" shapeId="4102" r:id="rId8"/>
  </oleObjec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 enableFormatConditionsCalculation="0">
    <pageSetUpPr fitToPage="1"/>
  </sheetPr>
  <dimension ref="A1:AX56"/>
  <sheetViews>
    <sheetView showGridLines="0" showRowColHeaders="0" tabSelected="1" workbookViewId="0">
      <selection activeCell="BF22" sqref="BF22"/>
    </sheetView>
  </sheetViews>
  <sheetFormatPr defaultColWidth="9.140625" defaultRowHeight="12"/>
  <cols>
    <col min="1" max="1" width="2.85546875" style="3" customWidth="1"/>
    <col min="2" max="4" width="2.140625" style="3" customWidth="1"/>
    <col min="5" max="5" width="2.140625" style="4" customWidth="1"/>
    <col min="6" max="55" width="2.140625" style="3" customWidth="1"/>
    <col min="56" max="16384" width="9.140625" style="3"/>
  </cols>
  <sheetData>
    <row r="1" spans="1:44" ht="4.5" customHeight="1">
      <c r="A1" s="5"/>
      <c r="B1" s="5"/>
      <c r="C1" s="5"/>
      <c r="D1" s="5"/>
      <c r="E1" s="41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4" ht="12.75">
      <c r="A2" s="5"/>
      <c r="B2" s="5"/>
      <c r="C2" s="5"/>
      <c r="D2" s="5"/>
      <c r="E2" s="41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</row>
    <row r="3" spans="1:44" ht="12.75">
      <c r="A3" s="5"/>
      <c r="B3" s="5"/>
      <c r="C3" s="5"/>
      <c r="D3" s="5"/>
      <c r="E3" s="41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spans="1:44" ht="12.75">
      <c r="A4" s="5"/>
      <c r="B4" s="5"/>
      <c r="C4" s="5"/>
      <c r="D4" s="5"/>
      <c r="E4" s="41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 ht="12.75" customHeight="1">
      <c r="A5" s="5"/>
      <c r="B5" s="5"/>
      <c r="C5" s="59">
        <f>AM27</f>
        <v>0</v>
      </c>
      <c r="D5" s="59"/>
      <c r="E5" s="59"/>
      <c r="F5" s="59"/>
      <c r="G5" s="59">
        <f t="shared" ref="G5:G25" si="0">EXP(-POWER((C5-AM$29)/AM$30,2))</f>
        <v>6.2176524022116292E-2</v>
      </c>
      <c r="H5" s="59"/>
      <c r="I5" s="59"/>
      <c r="J5" s="59"/>
      <c r="K5" s="59"/>
      <c r="L5" s="59"/>
      <c r="M5" s="83">
        <f t="shared" ref="M5:M25" si="1">1-(G5-MIN(G$5:G$25))/(MAX(G$5:G$25)-MIN(G$5:G$25))</f>
        <v>1</v>
      </c>
      <c r="N5" s="83"/>
      <c r="O5" s="83"/>
      <c r="P5" s="83"/>
      <c r="Q5" s="83"/>
      <c r="R5" s="83"/>
      <c r="S5" s="83"/>
      <c r="T5" s="5"/>
      <c r="U5" s="5"/>
      <c r="V5" s="5"/>
      <c r="W5" s="42"/>
      <c r="X5" s="42"/>
      <c r="Y5" s="42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 ht="12.75" customHeight="1">
      <c r="A6" s="5"/>
      <c r="B6" s="5"/>
      <c r="C6" s="59">
        <f t="shared" ref="C6:C24" si="2">C5+$AJ$7</f>
        <v>50</v>
      </c>
      <c r="D6" s="59"/>
      <c r="E6" s="59"/>
      <c r="F6" s="59"/>
      <c r="G6" s="59">
        <f t="shared" si="0"/>
        <v>8.1516938624689561E-2</v>
      </c>
      <c r="H6" s="59"/>
      <c r="I6" s="59"/>
      <c r="J6" s="59"/>
      <c r="K6" s="59"/>
      <c r="L6" s="59"/>
      <c r="M6" s="83">
        <f t="shared" si="1"/>
        <v>0.97937734008800892</v>
      </c>
      <c r="N6" s="83"/>
      <c r="O6" s="83"/>
      <c r="P6" s="83"/>
      <c r="Q6" s="83"/>
      <c r="R6" s="83"/>
      <c r="S6" s="83"/>
      <c r="T6" s="5"/>
      <c r="U6" s="5"/>
      <c r="V6" s="5"/>
      <c r="W6" s="42"/>
      <c r="X6" s="42"/>
      <c r="Y6" s="42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4" ht="12.75" customHeight="1">
      <c r="A7" s="5"/>
      <c r="B7" s="5"/>
      <c r="C7" s="59">
        <f t="shared" si="2"/>
        <v>100</v>
      </c>
      <c r="D7" s="59"/>
      <c r="E7" s="59"/>
      <c r="F7" s="59"/>
      <c r="G7" s="59">
        <f t="shared" si="0"/>
        <v>0.10539922456186433</v>
      </c>
      <c r="H7" s="59"/>
      <c r="I7" s="59"/>
      <c r="J7" s="59"/>
      <c r="K7" s="59"/>
      <c r="L7" s="59"/>
      <c r="M7" s="83">
        <f t="shared" si="1"/>
        <v>0.95391168845002627</v>
      </c>
      <c r="N7" s="83"/>
      <c r="O7" s="83"/>
      <c r="P7" s="83"/>
      <c r="Q7" s="83"/>
      <c r="R7" s="83"/>
      <c r="S7" s="83"/>
      <c r="T7" s="5"/>
      <c r="U7" s="5"/>
      <c r="V7" s="5"/>
      <c r="W7" s="42"/>
      <c r="X7" s="42"/>
      <c r="Y7" s="42"/>
      <c r="Z7" s="5"/>
      <c r="AA7" s="5"/>
      <c r="AB7" s="5"/>
      <c r="AC7" s="60" t="s">
        <v>0</v>
      </c>
      <c r="AD7" s="60"/>
      <c r="AE7" s="60"/>
      <c r="AF7" s="60"/>
      <c r="AG7" s="60"/>
      <c r="AH7" s="60"/>
      <c r="AI7" s="60"/>
      <c r="AJ7" s="54">
        <f>(AM28-AM27)/20</f>
        <v>50</v>
      </c>
      <c r="AK7" s="54"/>
      <c r="AL7" s="54"/>
      <c r="AM7" s="54"/>
      <c r="AN7" s="5"/>
      <c r="AO7" s="5"/>
      <c r="AP7" s="5"/>
      <c r="AQ7" s="5"/>
      <c r="AR7" s="5"/>
    </row>
    <row r="8" spans="1:44" ht="12.75" customHeight="1">
      <c r="A8" s="5"/>
      <c r="B8" s="5"/>
      <c r="C8" s="59">
        <f t="shared" si="2"/>
        <v>150</v>
      </c>
      <c r="D8" s="59"/>
      <c r="E8" s="59"/>
      <c r="F8" s="59"/>
      <c r="G8" s="59">
        <f t="shared" si="0"/>
        <v>0.13439871063288247</v>
      </c>
      <c r="H8" s="59"/>
      <c r="I8" s="59"/>
      <c r="J8" s="59"/>
      <c r="K8" s="59"/>
      <c r="L8" s="59"/>
      <c r="M8" s="83">
        <f t="shared" si="1"/>
        <v>0.92298957270667703</v>
      </c>
      <c r="N8" s="83"/>
      <c r="O8" s="83"/>
      <c r="P8" s="83"/>
      <c r="Q8" s="83"/>
      <c r="R8" s="83"/>
      <c r="S8" s="83"/>
      <c r="T8" s="5"/>
      <c r="U8" s="5"/>
      <c r="V8" s="5"/>
      <c r="W8" s="42"/>
      <c r="X8" s="42"/>
      <c r="Y8" s="42"/>
      <c r="Z8" s="5"/>
      <c r="AA8" s="5"/>
      <c r="AB8" s="5"/>
      <c r="AC8" s="62" t="s">
        <v>16</v>
      </c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5"/>
      <c r="AO8" s="5"/>
      <c r="AP8" s="5"/>
      <c r="AQ8" s="5"/>
      <c r="AR8" s="5"/>
    </row>
    <row r="9" spans="1:44" ht="12.75" customHeight="1">
      <c r="A9" s="5"/>
      <c r="B9" s="5"/>
      <c r="C9" s="59">
        <f t="shared" si="2"/>
        <v>200</v>
      </c>
      <c r="D9" s="59"/>
      <c r="E9" s="59"/>
      <c r="F9" s="59"/>
      <c r="G9" s="59">
        <f t="shared" si="0"/>
        <v>0.16901331540606609</v>
      </c>
      <c r="H9" s="59"/>
      <c r="I9" s="59"/>
      <c r="J9" s="59"/>
      <c r="K9" s="59"/>
      <c r="L9" s="59"/>
      <c r="M9" s="83">
        <f t="shared" si="1"/>
        <v>0.88608006291104058</v>
      </c>
      <c r="N9" s="83"/>
      <c r="O9" s="83"/>
      <c r="P9" s="83"/>
      <c r="Q9" s="83"/>
      <c r="R9" s="83"/>
      <c r="S9" s="83"/>
      <c r="T9" s="5"/>
      <c r="U9" s="5"/>
      <c r="V9" s="5"/>
      <c r="W9" s="42"/>
      <c r="X9" s="42"/>
      <c r="Y9" s="42"/>
      <c r="Z9" s="5"/>
      <c r="AA9" s="5"/>
      <c r="AB9" s="5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5"/>
      <c r="AO9" s="5"/>
      <c r="AP9" s="5"/>
      <c r="AQ9" s="5"/>
      <c r="AR9" s="5"/>
    </row>
    <row r="10" spans="1:44" ht="12.75" customHeight="1">
      <c r="A10" s="5"/>
      <c r="B10" s="5"/>
      <c r="C10" s="59">
        <f t="shared" si="2"/>
        <v>250</v>
      </c>
      <c r="D10" s="59"/>
      <c r="E10" s="59"/>
      <c r="F10" s="59"/>
      <c r="G10" s="59">
        <f t="shared" si="0"/>
        <v>0.20961138715109781</v>
      </c>
      <c r="H10" s="59"/>
      <c r="I10" s="59"/>
      <c r="J10" s="59"/>
      <c r="K10" s="59"/>
      <c r="L10" s="59"/>
      <c r="M10" s="83">
        <f t="shared" si="1"/>
        <v>0.84279038976365062</v>
      </c>
      <c r="N10" s="83"/>
      <c r="O10" s="83"/>
      <c r="P10" s="83"/>
      <c r="Q10" s="83"/>
      <c r="R10" s="83"/>
      <c r="S10" s="83"/>
      <c r="T10" s="5"/>
      <c r="U10" s="5"/>
      <c r="V10" s="5"/>
      <c r="W10" s="42"/>
      <c r="X10" s="42"/>
      <c r="Y10" s="42"/>
      <c r="Z10" s="5"/>
      <c r="AA10" s="5"/>
      <c r="AB10" s="5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5"/>
      <c r="AO10" s="5"/>
      <c r="AP10" s="5"/>
      <c r="AQ10" s="5"/>
      <c r="AR10" s="5"/>
    </row>
    <row r="11" spans="1:44" ht="12.75" customHeight="1">
      <c r="A11" s="5"/>
      <c r="B11" s="5"/>
      <c r="C11" s="59">
        <f t="shared" si="2"/>
        <v>300</v>
      </c>
      <c r="D11" s="59"/>
      <c r="E11" s="59"/>
      <c r="F11" s="59"/>
      <c r="G11" s="59">
        <f t="shared" si="0"/>
        <v>0.25637575668641222</v>
      </c>
      <c r="H11" s="59"/>
      <c r="I11" s="59"/>
      <c r="J11" s="59"/>
      <c r="K11" s="59"/>
      <c r="L11" s="59"/>
      <c r="M11" s="83">
        <f t="shared" si="1"/>
        <v>0.79292560099137932</v>
      </c>
      <c r="N11" s="83"/>
      <c r="O11" s="83"/>
      <c r="P11" s="83"/>
      <c r="Q11" s="83"/>
      <c r="R11" s="83"/>
      <c r="S11" s="83"/>
      <c r="T11" s="5"/>
      <c r="U11" s="5"/>
      <c r="V11" s="5"/>
      <c r="W11" s="42"/>
      <c r="X11" s="42"/>
      <c r="Y11" s="42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</row>
    <row r="12" spans="1:44" ht="12.75" customHeight="1">
      <c r="A12" s="5"/>
      <c r="B12" s="5"/>
      <c r="C12" s="59">
        <f t="shared" si="2"/>
        <v>350</v>
      </c>
      <c r="D12" s="59"/>
      <c r="E12" s="59"/>
      <c r="F12" s="59"/>
      <c r="G12" s="59">
        <f t="shared" si="0"/>
        <v>0.30924819293334382</v>
      </c>
      <c r="H12" s="59"/>
      <c r="I12" s="59"/>
      <c r="J12" s="59"/>
      <c r="K12" s="59"/>
      <c r="L12" s="59"/>
      <c r="M12" s="83">
        <f t="shared" si="1"/>
        <v>0.73654778832060919</v>
      </c>
      <c r="N12" s="83"/>
      <c r="O12" s="83"/>
      <c r="P12" s="83"/>
      <c r="Q12" s="83"/>
      <c r="R12" s="83"/>
      <c r="S12" s="83"/>
      <c r="T12" s="5"/>
      <c r="U12" s="5"/>
      <c r="V12" s="5"/>
      <c r="W12" s="42"/>
      <c r="X12" s="42"/>
      <c r="Y12" s="42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</row>
    <row r="13" spans="1:44" ht="12.75" customHeight="1">
      <c r="A13" s="5"/>
      <c r="B13" s="5"/>
      <c r="C13" s="59">
        <f t="shared" si="2"/>
        <v>400</v>
      </c>
      <c r="D13" s="59"/>
      <c r="E13" s="59"/>
      <c r="F13" s="59"/>
      <c r="G13" s="59">
        <f t="shared" si="0"/>
        <v>0.36787944117144233</v>
      </c>
      <c r="H13" s="59"/>
      <c r="I13" s="59"/>
      <c r="J13" s="59"/>
      <c r="K13" s="59"/>
      <c r="L13" s="59"/>
      <c r="M13" s="83">
        <f t="shared" si="1"/>
        <v>0.67402936162312987</v>
      </c>
      <c r="N13" s="83"/>
      <c r="O13" s="83"/>
      <c r="P13" s="83"/>
      <c r="Q13" s="83"/>
      <c r="R13" s="83"/>
      <c r="S13" s="83"/>
      <c r="T13" s="5"/>
      <c r="U13" s="5"/>
      <c r="V13" s="5"/>
      <c r="W13" s="42"/>
      <c r="X13" s="42"/>
      <c r="Y13" s="42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</row>
    <row r="14" spans="1:44" ht="12.75" customHeight="1">
      <c r="A14" s="5"/>
      <c r="B14" s="5"/>
      <c r="C14" s="59">
        <f t="shared" si="2"/>
        <v>450</v>
      </c>
      <c r="D14" s="59"/>
      <c r="E14" s="59"/>
      <c r="F14" s="59"/>
      <c r="G14" s="59">
        <f t="shared" si="0"/>
        <v>0.43159062049319485</v>
      </c>
      <c r="H14" s="59"/>
      <c r="I14" s="59"/>
      <c r="J14" s="59"/>
      <c r="K14" s="59"/>
      <c r="L14" s="59"/>
      <c r="M14" s="83">
        <f t="shared" si="1"/>
        <v>0.6060942107619085</v>
      </c>
      <c r="N14" s="83"/>
      <c r="O14" s="83"/>
      <c r="P14" s="83"/>
      <c r="Q14" s="83"/>
      <c r="R14" s="83"/>
      <c r="S14" s="83"/>
      <c r="T14" s="5"/>
      <c r="U14" s="5"/>
      <c r="V14" s="5"/>
      <c r="W14" s="42"/>
      <c r="X14" s="42"/>
      <c r="Y14" s="42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</row>
    <row r="15" spans="1:44" ht="12.75" customHeight="1">
      <c r="A15" s="5"/>
      <c r="B15" s="5"/>
      <c r="C15" s="59">
        <f t="shared" si="2"/>
        <v>500</v>
      </c>
      <c r="D15" s="59"/>
      <c r="E15" s="59"/>
      <c r="F15" s="59"/>
      <c r="G15" s="59">
        <f t="shared" si="0"/>
        <v>0.49935178859927615</v>
      </c>
      <c r="H15" s="59"/>
      <c r="I15" s="59"/>
      <c r="J15" s="59"/>
      <c r="K15" s="59"/>
      <c r="L15" s="59"/>
      <c r="M15" s="83">
        <f t="shared" si="1"/>
        <v>0.53384056192311657</v>
      </c>
      <c r="N15" s="83"/>
      <c r="O15" s="83"/>
      <c r="P15" s="83"/>
      <c r="Q15" s="83"/>
      <c r="R15" s="83"/>
      <c r="S15" s="83"/>
      <c r="T15" s="5"/>
      <c r="U15" s="5"/>
      <c r="V15" s="5"/>
      <c r="W15" s="42"/>
      <c r="X15" s="42"/>
      <c r="Y15" s="42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</row>
    <row r="16" spans="1:44" ht="12.75" customHeight="1">
      <c r="A16" s="5"/>
      <c r="B16" s="5"/>
      <c r="C16" s="59">
        <f t="shared" si="2"/>
        <v>550</v>
      </c>
      <c r="D16" s="59"/>
      <c r="E16" s="59"/>
      <c r="F16" s="59"/>
      <c r="G16" s="59">
        <f t="shared" si="0"/>
        <v>0.56978282473092301</v>
      </c>
      <c r="H16" s="59"/>
      <c r="I16" s="59"/>
      <c r="J16" s="59"/>
      <c r="K16" s="59"/>
      <c r="L16" s="59"/>
      <c r="M16" s="83">
        <f t="shared" si="1"/>
        <v>0.45874003614644276</v>
      </c>
      <c r="N16" s="83"/>
      <c r="O16" s="83"/>
      <c r="P16" s="83"/>
      <c r="Q16" s="83"/>
      <c r="R16" s="83"/>
      <c r="S16" s="83"/>
      <c r="T16" s="5"/>
      <c r="U16" s="5"/>
      <c r="V16" s="5"/>
      <c r="W16" s="42"/>
      <c r="X16" s="42"/>
      <c r="Y16" s="42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</row>
    <row r="17" spans="1:44" ht="12.75" customHeight="1">
      <c r="A17" s="5"/>
      <c r="B17" s="5"/>
      <c r="C17" s="59">
        <f t="shared" si="2"/>
        <v>600</v>
      </c>
      <c r="D17" s="59"/>
      <c r="E17" s="59"/>
      <c r="F17" s="59"/>
      <c r="G17" s="59">
        <f t="shared" si="0"/>
        <v>0.64118038842995462</v>
      </c>
      <c r="H17" s="59"/>
      <c r="I17" s="59"/>
      <c r="J17" s="59"/>
      <c r="K17" s="59"/>
      <c r="L17" s="59"/>
      <c r="M17" s="83">
        <f t="shared" si="1"/>
        <v>0.38260890323298669</v>
      </c>
      <c r="N17" s="83"/>
      <c r="O17" s="83"/>
      <c r="P17" s="83"/>
      <c r="Q17" s="83"/>
      <c r="R17" s="83"/>
      <c r="S17" s="83"/>
      <c r="T17" s="5"/>
      <c r="U17" s="5"/>
      <c r="V17" s="5"/>
      <c r="W17" s="42"/>
      <c r="X17" s="42"/>
      <c r="Y17" s="42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</row>
    <row r="18" spans="1:44" ht="12.75" customHeight="1">
      <c r="A18" s="5"/>
      <c r="B18" s="5"/>
      <c r="C18" s="59">
        <f t="shared" si="2"/>
        <v>650</v>
      </c>
      <c r="D18" s="59"/>
      <c r="E18" s="59"/>
      <c r="F18" s="59"/>
      <c r="G18" s="59">
        <f t="shared" si="0"/>
        <v>0.7115726362417969</v>
      </c>
      <c r="H18" s="59"/>
      <c r="I18" s="59"/>
      <c r="J18" s="59"/>
      <c r="K18" s="59"/>
      <c r="L18" s="59"/>
      <c r="M18" s="83">
        <f t="shared" si="1"/>
        <v>0.30754973739322877</v>
      </c>
      <c r="N18" s="83"/>
      <c r="O18" s="83"/>
      <c r="P18" s="83"/>
      <c r="Q18" s="83"/>
      <c r="R18" s="83"/>
      <c r="S18" s="83"/>
      <c r="T18" s="5"/>
      <c r="U18" s="5"/>
      <c r="V18" s="5"/>
      <c r="W18" s="42"/>
      <c r="X18" s="42"/>
      <c r="Y18" s="42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</row>
    <row r="19" spans="1:44" ht="12.75" customHeight="1">
      <c r="A19" s="5"/>
      <c r="B19" s="5"/>
      <c r="C19" s="59">
        <f t="shared" si="2"/>
        <v>700</v>
      </c>
      <c r="D19" s="59"/>
      <c r="E19" s="59"/>
      <c r="F19" s="59"/>
      <c r="G19" s="59">
        <f t="shared" si="0"/>
        <v>0.77880078307140488</v>
      </c>
      <c r="H19" s="59"/>
      <c r="I19" s="59"/>
      <c r="J19" s="59"/>
      <c r="K19" s="59"/>
      <c r="L19" s="59"/>
      <c r="M19" s="83">
        <f t="shared" si="1"/>
        <v>0.23586444847517507</v>
      </c>
      <c r="N19" s="83"/>
      <c r="O19" s="83"/>
      <c r="P19" s="83"/>
      <c r="Q19" s="83"/>
      <c r="R19" s="83"/>
      <c r="S19" s="83"/>
      <c r="T19" s="5"/>
      <c r="U19" s="5"/>
      <c r="V19" s="5"/>
      <c r="W19" s="42"/>
      <c r="X19" s="42"/>
      <c r="Y19" s="42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</row>
    <row r="20" spans="1:44" ht="12.75" customHeight="1">
      <c r="A20" s="5"/>
      <c r="B20" s="5"/>
      <c r="C20" s="59">
        <f t="shared" si="2"/>
        <v>750</v>
      </c>
      <c r="D20" s="59"/>
      <c r="E20" s="59"/>
      <c r="F20" s="59"/>
      <c r="G20" s="59">
        <f t="shared" si="0"/>
        <v>0.84062374333450529</v>
      </c>
      <c r="H20" s="59"/>
      <c r="I20" s="59"/>
      <c r="J20" s="59"/>
      <c r="K20" s="59"/>
      <c r="L20" s="59"/>
      <c r="M20" s="83">
        <f t="shared" si="1"/>
        <v>0.16994270323560678</v>
      </c>
      <c r="N20" s="83"/>
      <c r="O20" s="83"/>
      <c r="P20" s="83"/>
      <c r="Q20" s="83"/>
      <c r="R20" s="83"/>
      <c r="S20" s="83"/>
      <c r="T20" s="5"/>
      <c r="U20" s="5"/>
      <c r="V20" s="5"/>
      <c r="W20" s="42"/>
      <c r="X20" s="42"/>
      <c r="Y20" s="42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</row>
    <row r="21" spans="1:44" ht="12.75" customHeight="1">
      <c r="A21" s="5"/>
      <c r="B21" s="5"/>
      <c r="C21" s="59">
        <f t="shared" si="2"/>
        <v>800</v>
      </c>
      <c r="D21" s="59"/>
      <c r="E21" s="59"/>
      <c r="F21" s="59"/>
      <c r="G21" s="59">
        <f t="shared" si="0"/>
        <v>0.89483931681436979</v>
      </c>
      <c r="H21" s="59"/>
      <c r="I21" s="59"/>
      <c r="J21" s="59"/>
      <c r="K21" s="59"/>
      <c r="L21" s="59"/>
      <c r="M21" s="83">
        <f t="shared" si="1"/>
        <v>0.11213270501250516</v>
      </c>
      <c r="N21" s="83"/>
      <c r="O21" s="83"/>
      <c r="P21" s="83"/>
      <c r="Q21" s="83"/>
      <c r="R21" s="83"/>
      <c r="S21" s="83"/>
      <c r="T21" s="5"/>
      <c r="U21" s="5"/>
      <c r="V21" s="5"/>
      <c r="W21" s="42"/>
      <c r="X21" s="42"/>
      <c r="Y21" s="42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</row>
    <row r="22" spans="1:44" ht="12.75" customHeight="1">
      <c r="A22" s="5"/>
      <c r="B22" s="5"/>
      <c r="C22" s="59">
        <f t="shared" si="2"/>
        <v>850</v>
      </c>
      <c r="D22" s="59"/>
      <c r="E22" s="59"/>
      <c r="F22" s="59"/>
      <c r="G22" s="59">
        <f t="shared" si="0"/>
        <v>0.93941306281347581</v>
      </c>
      <c r="H22" s="59"/>
      <c r="I22" s="59"/>
      <c r="J22" s="59"/>
      <c r="K22" s="59"/>
      <c r="L22" s="59"/>
      <c r="M22" s="83">
        <f t="shared" si="1"/>
        <v>6.4603775378249351E-2</v>
      </c>
      <c r="N22" s="83"/>
      <c r="O22" s="83"/>
      <c r="P22" s="83"/>
      <c r="Q22" s="83"/>
      <c r="R22" s="83"/>
      <c r="S22" s="83"/>
      <c r="T22" s="5"/>
      <c r="U22" s="5"/>
      <c r="V22" s="5"/>
      <c r="W22" s="42"/>
      <c r="X22" s="42"/>
      <c r="Y22" s="42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</row>
    <row r="23" spans="1:44" ht="12.75" customHeight="1">
      <c r="A23" s="5"/>
      <c r="B23" s="5"/>
      <c r="C23" s="59">
        <f t="shared" si="2"/>
        <v>900</v>
      </c>
      <c r="D23" s="59"/>
      <c r="E23" s="59"/>
      <c r="F23" s="59"/>
      <c r="G23" s="59">
        <f t="shared" si="0"/>
        <v>0.97260447711634834</v>
      </c>
      <c r="H23" s="59"/>
      <c r="I23" s="59"/>
      <c r="J23" s="59"/>
      <c r="K23" s="59"/>
      <c r="L23" s="59"/>
      <c r="M23" s="83">
        <f t="shared" si="1"/>
        <v>2.9211811801880816E-2</v>
      </c>
      <c r="N23" s="83"/>
      <c r="O23" s="83"/>
      <c r="P23" s="83"/>
      <c r="Q23" s="83"/>
      <c r="R23" s="83"/>
      <c r="S23" s="83"/>
      <c r="T23" s="5"/>
      <c r="U23" s="5"/>
      <c r="V23" s="5"/>
      <c r="W23" s="42"/>
      <c r="X23" s="42"/>
      <c r="Y23" s="42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</row>
    <row r="24" spans="1:44" ht="12.75" customHeight="1">
      <c r="A24" s="5"/>
      <c r="B24" s="5"/>
      <c r="C24" s="59">
        <f t="shared" si="2"/>
        <v>950</v>
      </c>
      <c r="D24" s="59"/>
      <c r="E24" s="59"/>
      <c r="F24" s="59"/>
      <c r="G24" s="59">
        <f t="shared" si="0"/>
        <v>0.99307961249031607</v>
      </c>
      <c r="H24" s="59"/>
      <c r="I24" s="59"/>
      <c r="J24" s="59"/>
      <c r="K24" s="59"/>
      <c r="L24" s="59"/>
      <c r="M24" s="83">
        <f t="shared" si="1"/>
        <v>7.3792005499413449E-3</v>
      </c>
      <c r="N24" s="83"/>
      <c r="O24" s="83"/>
      <c r="P24" s="83"/>
      <c r="Q24" s="83"/>
      <c r="R24" s="83"/>
      <c r="S24" s="83"/>
      <c r="T24" s="5"/>
      <c r="U24" s="5"/>
      <c r="V24" s="5"/>
      <c r="W24" s="42"/>
      <c r="X24" s="42"/>
      <c r="Y24" s="42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</row>
    <row r="25" spans="1:44" ht="12.75" customHeight="1">
      <c r="A25" s="5"/>
      <c r="B25" s="5"/>
      <c r="C25" s="59">
        <f>AM28</f>
        <v>1000</v>
      </c>
      <c r="D25" s="59"/>
      <c r="E25" s="59"/>
      <c r="F25" s="59"/>
      <c r="G25" s="59">
        <f t="shared" si="0"/>
        <v>1</v>
      </c>
      <c r="H25" s="59"/>
      <c r="I25" s="59"/>
      <c r="J25" s="59"/>
      <c r="K25" s="59"/>
      <c r="L25" s="59"/>
      <c r="M25" s="83">
        <f t="shared" si="1"/>
        <v>0</v>
      </c>
      <c r="N25" s="83"/>
      <c r="O25" s="83"/>
      <c r="P25" s="83"/>
      <c r="Q25" s="83"/>
      <c r="R25" s="83"/>
      <c r="S25" s="83"/>
      <c r="T25" s="5"/>
      <c r="U25" s="5"/>
      <c r="V25" s="5"/>
      <c r="W25" s="42"/>
      <c r="X25" s="42"/>
      <c r="Y25" s="42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</row>
    <row r="26" spans="1:44" ht="12.75">
      <c r="A26" s="5"/>
      <c r="B26" s="5"/>
      <c r="C26" s="5"/>
      <c r="D26" s="5"/>
      <c r="E26" s="4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</row>
    <row r="27" spans="1:44" ht="12.75" customHeight="1">
      <c r="A27" s="5"/>
      <c r="B27" s="5"/>
      <c r="C27" s="5"/>
      <c r="D27" s="5"/>
      <c r="E27" s="41"/>
      <c r="F27" s="5"/>
      <c r="G27" s="5"/>
      <c r="H27" s="5"/>
      <c r="I27" s="5"/>
      <c r="J27" s="5"/>
      <c r="K27" s="5"/>
      <c r="L27" s="5"/>
      <c r="M27" s="5"/>
      <c r="N27" s="5"/>
      <c r="O27" s="5"/>
      <c r="P27" s="23"/>
      <c r="Q27" s="29"/>
      <c r="R27" s="29"/>
      <c r="S27" s="29"/>
      <c r="T27" s="29"/>
      <c r="U27" s="23"/>
      <c r="V27" s="22"/>
      <c r="W27" s="22"/>
      <c r="X27" s="22"/>
      <c r="Y27" s="23"/>
      <c r="Z27" s="5"/>
      <c r="AA27" s="78" t="s">
        <v>13</v>
      </c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54">
        <v>0</v>
      </c>
      <c r="AN27" s="54"/>
      <c r="AO27" s="54"/>
      <c r="AP27" s="54"/>
      <c r="AQ27" s="54"/>
      <c r="AR27" s="5"/>
    </row>
    <row r="28" spans="1:44" ht="12.75" customHeight="1">
      <c r="A28" s="5"/>
      <c r="B28" s="5"/>
      <c r="C28" s="5"/>
      <c r="D28" s="5"/>
      <c r="E28" s="41"/>
      <c r="F28" s="5"/>
      <c r="G28" s="5"/>
      <c r="H28" s="5"/>
      <c r="I28" s="5"/>
      <c r="J28" s="5"/>
      <c r="K28" s="5"/>
      <c r="L28" s="5"/>
      <c r="M28" s="5"/>
      <c r="N28" s="5"/>
      <c r="O28" s="5"/>
      <c r="P28" s="23"/>
      <c r="Q28" s="29"/>
      <c r="R28" s="29"/>
      <c r="S28" s="29"/>
      <c r="T28" s="29"/>
      <c r="U28" s="23"/>
      <c r="V28" s="22"/>
      <c r="W28" s="22"/>
      <c r="X28" s="22"/>
      <c r="Y28" s="23"/>
      <c r="Z28" s="5"/>
      <c r="AA28" s="78" t="s">
        <v>14</v>
      </c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54">
        <v>1000</v>
      </c>
      <c r="AN28" s="54"/>
      <c r="AO28" s="54"/>
      <c r="AP28" s="54"/>
      <c r="AQ28" s="54"/>
      <c r="AR28" s="5"/>
    </row>
    <row r="29" spans="1:44" ht="12.75" customHeight="1">
      <c r="A29" s="5"/>
      <c r="B29" s="5"/>
      <c r="C29" s="5"/>
      <c r="D29" s="5"/>
      <c r="E29" s="41"/>
      <c r="F29" s="5"/>
      <c r="G29" s="5"/>
      <c r="H29" s="5"/>
      <c r="I29" s="5"/>
      <c r="J29" s="5"/>
      <c r="K29" s="5"/>
      <c r="L29" s="5"/>
      <c r="M29" s="5"/>
      <c r="N29" s="5"/>
      <c r="O29" s="5"/>
      <c r="P29" s="23"/>
      <c r="Q29" s="43"/>
      <c r="R29" s="43"/>
      <c r="S29" s="43"/>
      <c r="T29" s="43"/>
      <c r="U29" s="23"/>
      <c r="V29" s="44"/>
      <c r="W29" s="44"/>
      <c r="X29" s="44"/>
      <c r="Y29" s="23"/>
      <c r="Z29" s="5"/>
      <c r="AA29" s="101" t="s">
        <v>15</v>
      </c>
      <c r="AB29" s="101"/>
      <c r="AC29" s="101"/>
      <c r="AD29" s="101"/>
      <c r="AE29" s="101"/>
      <c r="AF29" s="101"/>
      <c r="AG29" s="101"/>
      <c r="AH29" s="101"/>
      <c r="AI29" s="101"/>
      <c r="AJ29" s="101"/>
      <c r="AK29" s="101"/>
      <c r="AL29" s="101"/>
      <c r="AM29" s="102">
        <v>1000</v>
      </c>
      <c r="AN29" s="102"/>
      <c r="AO29" s="102"/>
      <c r="AP29" s="102"/>
      <c r="AQ29" s="102"/>
      <c r="AR29" s="5"/>
    </row>
    <row r="30" spans="1:44" ht="12.75" customHeight="1">
      <c r="A30" s="5"/>
      <c r="B30" s="5"/>
      <c r="C30" s="5"/>
      <c r="D30" s="5"/>
      <c r="E30" s="41"/>
      <c r="F30" s="5"/>
      <c r="G30" s="5"/>
      <c r="H30" s="5"/>
      <c r="I30" s="5"/>
      <c r="J30" s="5"/>
      <c r="K30" s="5"/>
      <c r="L30" s="5"/>
      <c r="M30" s="5"/>
      <c r="N30" s="5"/>
      <c r="O30" s="5"/>
      <c r="P30" s="23"/>
      <c r="Q30" s="29"/>
      <c r="R30" s="29"/>
      <c r="S30" s="29"/>
      <c r="T30" s="29"/>
      <c r="U30" s="23"/>
      <c r="V30" s="22"/>
      <c r="W30" s="22"/>
      <c r="X30" s="22"/>
      <c r="Y30" s="23"/>
      <c r="Z30" s="5"/>
      <c r="AA30" s="78" t="s">
        <v>3</v>
      </c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54">
        <v>600</v>
      </c>
      <c r="AN30" s="54"/>
      <c r="AO30" s="54"/>
      <c r="AP30" s="54"/>
      <c r="AQ30" s="54"/>
      <c r="AR30" s="5"/>
    </row>
    <row r="31" spans="1:44" ht="12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23"/>
      <c r="Q31" s="29"/>
      <c r="R31" s="29"/>
      <c r="S31" s="29"/>
      <c r="T31" s="29"/>
      <c r="U31" s="23"/>
      <c r="V31" s="22"/>
      <c r="W31" s="22"/>
      <c r="X31" s="22"/>
      <c r="Y31" s="23"/>
      <c r="Z31" s="5"/>
      <c r="AA31" s="78" t="s">
        <v>9</v>
      </c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54" t="s">
        <v>21</v>
      </c>
      <c r="AN31" s="54"/>
      <c r="AO31" s="54"/>
      <c r="AP31" s="54"/>
      <c r="AQ31" s="54"/>
      <c r="AR31" s="5"/>
    </row>
    <row r="32" spans="1:44" ht="12.75">
      <c r="A32" s="5"/>
      <c r="B32" s="5"/>
      <c r="C32" s="5"/>
      <c r="D32" s="5"/>
      <c r="E32" s="41"/>
      <c r="F32" s="5"/>
      <c r="G32" s="5"/>
      <c r="H32" s="5"/>
      <c r="I32" s="9"/>
      <c r="J32" s="13" t="s">
        <v>19</v>
      </c>
      <c r="K32" s="57" t="s">
        <v>20</v>
      </c>
      <c r="L32" s="57"/>
      <c r="M32" s="57"/>
      <c r="N32" s="57"/>
      <c r="O32" s="57"/>
      <c r="P32" s="57"/>
      <c r="Q32" s="57"/>
      <c r="R32" s="57"/>
      <c r="S32" s="5"/>
      <c r="T32" s="5"/>
      <c r="U32" s="5"/>
      <c r="V32" s="7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</row>
    <row r="33" spans="1:50" ht="12.75" customHeight="1">
      <c r="A33" s="5"/>
      <c r="B33" s="5"/>
      <c r="C33" s="5"/>
      <c r="D33" s="5"/>
      <c r="E33" s="41"/>
      <c r="F33" s="5"/>
      <c r="G33" s="5"/>
      <c r="H33" s="5"/>
      <c r="I33" s="9"/>
      <c r="J33" s="13" t="s">
        <v>19</v>
      </c>
      <c r="K33" s="57">
        <f>VALUE(AM29)</f>
        <v>1000</v>
      </c>
      <c r="L33" s="57"/>
      <c r="M33" s="57"/>
      <c r="N33" s="57"/>
      <c r="O33" s="57"/>
      <c r="P33" s="57"/>
      <c r="Q33" s="57"/>
      <c r="R33" s="57"/>
      <c r="S33" s="5"/>
      <c r="T33" s="56" t="s">
        <v>23</v>
      </c>
      <c r="U33" s="56"/>
      <c r="V33" s="56"/>
      <c r="W33" s="56"/>
      <c r="X33" s="56"/>
      <c r="Y33" s="56"/>
      <c r="Z33" s="56"/>
      <c r="AA33" s="56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</row>
    <row r="34" spans="1:50" ht="12.75">
      <c r="A34" s="5"/>
      <c r="B34" s="5"/>
      <c r="C34" s="5"/>
      <c r="D34" s="33"/>
      <c r="E34" s="41"/>
      <c r="F34" s="5"/>
      <c r="G34" s="5"/>
      <c r="H34" s="5"/>
      <c r="I34" s="45"/>
      <c r="J34" s="46" t="s">
        <v>19</v>
      </c>
      <c r="K34" s="63">
        <f>VALUE(AM30)</f>
        <v>600</v>
      </c>
      <c r="L34" s="63"/>
      <c r="M34" s="63"/>
      <c r="N34" s="63"/>
      <c r="O34" s="63"/>
      <c r="P34" s="63"/>
      <c r="Q34" s="63"/>
      <c r="R34" s="63"/>
      <c r="S34" s="5"/>
      <c r="T34" s="56"/>
      <c r="U34" s="56"/>
      <c r="V34" s="56"/>
      <c r="W34" s="56"/>
      <c r="X34" s="56"/>
      <c r="Y34" s="56"/>
      <c r="Z34" s="56"/>
      <c r="AA34" s="56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</row>
    <row r="35" spans="1:50" ht="12.75">
      <c r="A35" s="5"/>
      <c r="B35" s="5"/>
      <c r="C35" s="5"/>
      <c r="D35" s="33"/>
      <c r="E35" s="41"/>
      <c r="F35" s="5"/>
      <c r="G35" s="5"/>
      <c r="H35" s="5"/>
      <c r="I35" s="45"/>
      <c r="J35" s="46" t="s">
        <v>19</v>
      </c>
      <c r="K35" s="64">
        <f>MIN(G5:G25)</f>
        <v>6.2176524022116292E-2</v>
      </c>
      <c r="L35" s="64"/>
      <c r="M35" s="64"/>
      <c r="N35" s="64"/>
      <c r="O35" s="64"/>
      <c r="P35" s="64"/>
      <c r="Q35" s="64"/>
      <c r="R35" s="64"/>
      <c r="S35" s="5"/>
      <c r="T35" s="56"/>
      <c r="U35" s="56"/>
      <c r="V35" s="56"/>
      <c r="W35" s="56"/>
      <c r="X35" s="56"/>
      <c r="Y35" s="56"/>
      <c r="Z35" s="56"/>
      <c r="AA35" s="56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U35" s="31"/>
      <c r="AV35" s="31"/>
      <c r="AW35" s="31"/>
      <c r="AX35" s="31"/>
    </row>
    <row r="36" spans="1:50" ht="12.75" customHeight="1">
      <c r="A36" s="5"/>
      <c r="B36" s="5"/>
      <c r="C36" s="5"/>
      <c r="D36" s="33"/>
      <c r="E36" s="41"/>
      <c r="F36" s="5"/>
      <c r="G36" s="5"/>
      <c r="H36" s="5"/>
      <c r="I36" s="45"/>
      <c r="J36" s="46" t="s">
        <v>19</v>
      </c>
      <c r="K36" s="63">
        <f>MAX(G5:G25)</f>
        <v>1</v>
      </c>
      <c r="L36" s="63"/>
      <c r="M36" s="63"/>
      <c r="N36" s="63"/>
      <c r="O36" s="63"/>
      <c r="P36" s="63"/>
      <c r="Q36" s="63"/>
      <c r="R36" s="63"/>
      <c r="S36" s="5"/>
      <c r="T36" s="5"/>
      <c r="U36" s="5"/>
      <c r="V36" s="5"/>
      <c r="W36" s="5"/>
      <c r="X36" s="5"/>
      <c r="Y36" s="11"/>
      <c r="Z36" s="11"/>
      <c r="AA36" s="11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</row>
    <row r="37" spans="1:50" ht="12.75" customHeight="1">
      <c r="A37" s="5"/>
      <c r="C37" s="57" t="s">
        <v>22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10"/>
      <c r="AR37" s="5"/>
    </row>
    <row r="38" spans="1:50" ht="12.75">
      <c r="A38" s="5"/>
      <c r="B38" s="84" t="str">
        <f>"funcion_de_valor=1-((exp  (-exp((mapa_atributo-"&amp;VALUE(AM29)&amp;")/"&amp;VALUE(AM30)&amp;",  2))-("&amp;MIN(G5:G25)&amp;"))/(("&amp;MAX(G5:G25)&amp;")-("&amp;MIN(G5:G25)&amp;")))"</f>
        <v>funcion_de_valor=1-((exp  (-exp((mapa_atributo-1000)/600,  2))-(0.0621765240221163))/((1)-(0.0621765240221163)))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5"/>
    </row>
    <row r="39" spans="1:50" ht="6" customHeight="1" thickBo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2"/>
      <c r="AN39" s="22"/>
      <c r="AO39" s="23"/>
      <c r="AP39" s="23"/>
      <c r="AQ39" s="23"/>
      <c r="AR39" s="5"/>
    </row>
    <row r="40" spans="1:50" ht="13.5" customHeight="1" thickBot="1">
      <c r="A40" s="5"/>
      <c r="B40" s="65" t="s">
        <v>4</v>
      </c>
      <c r="C40" s="66"/>
      <c r="D40" s="66"/>
      <c r="E40" s="66"/>
      <c r="F40" s="66"/>
      <c r="G40" s="66"/>
      <c r="H40" s="66"/>
      <c r="I40" s="66"/>
      <c r="J40" s="66"/>
      <c r="K40" s="66"/>
      <c r="L40" s="67"/>
      <c r="M40" s="89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1"/>
      <c r="AR40" s="5"/>
    </row>
    <row r="41" spans="1:50" ht="13.5" customHeight="1" thickBot="1">
      <c r="A41" s="5"/>
      <c r="B41" s="65" t="s">
        <v>10</v>
      </c>
      <c r="C41" s="66"/>
      <c r="D41" s="66"/>
      <c r="E41" s="66"/>
      <c r="F41" s="66"/>
      <c r="G41" s="66"/>
      <c r="H41" s="66"/>
      <c r="I41" s="66"/>
      <c r="J41" s="66"/>
      <c r="K41" s="66"/>
      <c r="L41" s="67"/>
      <c r="M41" s="89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1"/>
      <c r="AR41" s="5"/>
    </row>
    <row r="42" spans="1:50" ht="27" customHeight="1" thickBot="1">
      <c r="A42" s="5"/>
      <c r="B42" s="65" t="s">
        <v>12</v>
      </c>
      <c r="C42" s="66"/>
      <c r="D42" s="66"/>
      <c r="E42" s="66"/>
      <c r="F42" s="66"/>
      <c r="G42" s="66"/>
      <c r="H42" s="66"/>
      <c r="I42" s="66"/>
      <c r="J42" s="66"/>
      <c r="K42" s="66"/>
      <c r="L42" s="67"/>
      <c r="M42" s="89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1"/>
      <c r="AR42" s="5"/>
    </row>
    <row r="43" spans="1:50" ht="13.5" customHeight="1" thickBot="1">
      <c r="A43" s="5"/>
      <c r="B43" s="65" t="s">
        <v>5</v>
      </c>
      <c r="C43" s="66"/>
      <c r="D43" s="66"/>
      <c r="E43" s="66"/>
      <c r="F43" s="66"/>
      <c r="G43" s="66"/>
      <c r="H43" s="66"/>
      <c r="I43" s="66"/>
      <c r="J43" s="66"/>
      <c r="K43" s="66"/>
      <c r="L43" s="67"/>
      <c r="M43" s="89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1"/>
      <c r="AR43" s="5"/>
    </row>
    <row r="44" spans="1:50" ht="13.5" customHeight="1" thickBot="1">
      <c r="A44" s="5"/>
      <c r="B44" s="65" t="s">
        <v>6</v>
      </c>
      <c r="C44" s="66"/>
      <c r="D44" s="66"/>
      <c r="E44" s="66"/>
      <c r="F44" s="66"/>
      <c r="G44" s="66"/>
      <c r="H44" s="66"/>
      <c r="I44" s="66"/>
      <c r="J44" s="66"/>
      <c r="K44" s="66"/>
      <c r="L44" s="67"/>
      <c r="M44" s="89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90"/>
      <c r="AP44" s="90"/>
      <c r="AQ44" s="91"/>
      <c r="AR44" s="5"/>
    </row>
    <row r="45" spans="1:50" ht="12.75" customHeight="1" thickBot="1">
      <c r="A45" s="5"/>
      <c r="B45" s="65" t="s">
        <v>7</v>
      </c>
      <c r="C45" s="66"/>
      <c r="D45" s="66"/>
      <c r="E45" s="66"/>
      <c r="F45" s="66"/>
      <c r="G45" s="66"/>
      <c r="H45" s="66"/>
      <c r="I45" s="66"/>
      <c r="J45" s="66"/>
      <c r="K45" s="66"/>
      <c r="L45" s="67"/>
      <c r="M45" s="92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4"/>
      <c r="AR45" s="5"/>
    </row>
    <row r="46" spans="1:50" ht="12.75" customHeight="1" thickBot="1">
      <c r="A46" s="5"/>
      <c r="B46" s="65"/>
      <c r="C46" s="66"/>
      <c r="D46" s="66"/>
      <c r="E46" s="66"/>
      <c r="F46" s="66"/>
      <c r="G46" s="66"/>
      <c r="H46" s="66"/>
      <c r="I46" s="66"/>
      <c r="J46" s="66"/>
      <c r="K46" s="66"/>
      <c r="L46" s="67"/>
      <c r="M46" s="95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7"/>
      <c r="AR46" s="5"/>
    </row>
    <row r="47" spans="1:50" ht="12.75" customHeight="1" thickBot="1">
      <c r="A47" s="5"/>
      <c r="B47" s="65"/>
      <c r="C47" s="66"/>
      <c r="D47" s="66"/>
      <c r="E47" s="66"/>
      <c r="F47" s="66"/>
      <c r="G47" s="66"/>
      <c r="H47" s="66"/>
      <c r="I47" s="66"/>
      <c r="J47" s="66"/>
      <c r="K47" s="66"/>
      <c r="L47" s="67"/>
      <c r="M47" s="95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7"/>
      <c r="AR47" s="5"/>
    </row>
    <row r="48" spans="1:50" ht="12.75" customHeight="1" thickBot="1">
      <c r="A48" s="5"/>
      <c r="B48" s="65"/>
      <c r="C48" s="66"/>
      <c r="D48" s="66"/>
      <c r="E48" s="66"/>
      <c r="F48" s="66"/>
      <c r="G48" s="66"/>
      <c r="H48" s="66"/>
      <c r="I48" s="66"/>
      <c r="J48" s="66"/>
      <c r="K48" s="66"/>
      <c r="L48" s="67"/>
      <c r="M48" s="95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7"/>
      <c r="AR48" s="5"/>
    </row>
    <row r="49" spans="1:44" ht="12.75" customHeight="1" thickBot="1">
      <c r="A49" s="5"/>
      <c r="B49" s="65"/>
      <c r="C49" s="66"/>
      <c r="D49" s="66"/>
      <c r="E49" s="66"/>
      <c r="F49" s="66"/>
      <c r="G49" s="66"/>
      <c r="H49" s="66"/>
      <c r="I49" s="66"/>
      <c r="J49" s="66"/>
      <c r="K49" s="66"/>
      <c r="L49" s="67"/>
      <c r="M49" s="95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7"/>
      <c r="AR49" s="5"/>
    </row>
    <row r="50" spans="1:44" ht="12.75" customHeight="1" thickBot="1">
      <c r="A50" s="5"/>
      <c r="B50" s="65"/>
      <c r="C50" s="66"/>
      <c r="D50" s="66"/>
      <c r="E50" s="66"/>
      <c r="F50" s="66"/>
      <c r="G50" s="66"/>
      <c r="H50" s="66"/>
      <c r="I50" s="66"/>
      <c r="J50" s="66"/>
      <c r="K50" s="66"/>
      <c r="L50" s="67"/>
      <c r="M50" s="95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7"/>
      <c r="AR50" s="5"/>
    </row>
    <row r="51" spans="1:44" ht="12.75" customHeight="1" thickBot="1">
      <c r="A51" s="5"/>
      <c r="B51" s="65"/>
      <c r="C51" s="66"/>
      <c r="D51" s="66"/>
      <c r="E51" s="66"/>
      <c r="F51" s="66"/>
      <c r="G51" s="66"/>
      <c r="H51" s="66"/>
      <c r="I51" s="66"/>
      <c r="J51" s="66"/>
      <c r="K51" s="66"/>
      <c r="L51" s="67"/>
      <c r="M51" s="95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7"/>
      <c r="AR51" s="5"/>
    </row>
    <row r="52" spans="1:44" ht="12.75" customHeight="1" thickBot="1">
      <c r="A52" s="5"/>
      <c r="B52" s="65"/>
      <c r="C52" s="66"/>
      <c r="D52" s="66"/>
      <c r="E52" s="66"/>
      <c r="F52" s="66"/>
      <c r="G52" s="66"/>
      <c r="H52" s="66"/>
      <c r="I52" s="66"/>
      <c r="J52" s="66"/>
      <c r="K52" s="66"/>
      <c r="L52" s="67"/>
      <c r="M52" s="95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7"/>
      <c r="AR52" s="5"/>
    </row>
    <row r="53" spans="1:44" ht="13.5" customHeight="1" thickBot="1">
      <c r="A53" s="5"/>
      <c r="B53" s="65"/>
      <c r="C53" s="66"/>
      <c r="D53" s="66"/>
      <c r="E53" s="66"/>
      <c r="F53" s="66"/>
      <c r="G53" s="66"/>
      <c r="H53" s="66"/>
      <c r="I53" s="66"/>
      <c r="J53" s="66"/>
      <c r="K53" s="66"/>
      <c r="L53" s="67"/>
      <c r="M53" s="98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  <c r="AF53" s="99"/>
      <c r="AG53" s="99"/>
      <c r="AH53" s="99"/>
      <c r="AI53" s="99"/>
      <c r="AJ53" s="99"/>
      <c r="AK53" s="99"/>
      <c r="AL53" s="99"/>
      <c r="AM53" s="99"/>
      <c r="AN53" s="99"/>
      <c r="AO53" s="99"/>
      <c r="AP53" s="99"/>
      <c r="AQ53" s="100"/>
      <c r="AR53" s="5"/>
    </row>
    <row r="54" spans="1:44" ht="27" customHeight="1" thickBot="1">
      <c r="A54" s="5"/>
      <c r="B54" s="65" t="s">
        <v>11</v>
      </c>
      <c r="C54" s="66"/>
      <c r="D54" s="66"/>
      <c r="E54" s="66"/>
      <c r="F54" s="66"/>
      <c r="G54" s="66"/>
      <c r="H54" s="66"/>
      <c r="I54" s="66"/>
      <c r="J54" s="66"/>
      <c r="K54" s="66"/>
      <c r="L54" s="67"/>
      <c r="M54" s="89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90"/>
      <c r="AJ54" s="90"/>
      <c r="AK54" s="90"/>
      <c r="AL54" s="90"/>
      <c r="AM54" s="90"/>
      <c r="AN54" s="90"/>
      <c r="AO54" s="90"/>
      <c r="AP54" s="90"/>
      <c r="AQ54" s="91"/>
      <c r="AR54" s="5"/>
    </row>
    <row r="55" spans="1:44" ht="13.5" customHeight="1" thickBot="1">
      <c r="A55" s="5"/>
      <c r="B55" s="65" t="s">
        <v>8</v>
      </c>
      <c r="C55" s="66"/>
      <c r="D55" s="66"/>
      <c r="E55" s="66"/>
      <c r="F55" s="66"/>
      <c r="G55" s="66"/>
      <c r="H55" s="66"/>
      <c r="I55" s="66"/>
      <c r="J55" s="66"/>
      <c r="K55" s="66"/>
      <c r="L55" s="67"/>
      <c r="M55" s="89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  <c r="AJ55" s="90"/>
      <c r="AK55" s="90"/>
      <c r="AL55" s="90"/>
      <c r="AM55" s="90"/>
      <c r="AN55" s="90"/>
      <c r="AO55" s="90"/>
      <c r="AP55" s="90"/>
      <c r="AQ55" s="91"/>
      <c r="AR55" s="5"/>
    </row>
    <row r="56" spans="1:44" ht="12.75">
      <c r="A56" s="5"/>
      <c r="B56" s="5"/>
      <c r="C56" s="5"/>
      <c r="D56" s="5"/>
      <c r="E56" s="41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</row>
  </sheetData>
  <mergeCells count="108">
    <mergeCell ref="M55:AQ55"/>
    <mergeCell ref="M50:AQ50"/>
    <mergeCell ref="M51:AQ51"/>
    <mergeCell ref="M52:AQ52"/>
    <mergeCell ref="M53:AQ53"/>
    <mergeCell ref="M54:AQ54"/>
    <mergeCell ref="M45:AQ45"/>
    <mergeCell ref="M46:AQ46"/>
    <mergeCell ref="M47:AQ47"/>
    <mergeCell ref="M43:AQ43"/>
    <mergeCell ref="M44:AQ44"/>
    <mergeCell ref="B40:L40"/>
    <mergeCell ref="B41:L41"/>
    <mergeCell ref="B42:L42"/>
    <mergeCell ref="B43:L43"/>
    <mergeCell ref="B44:L44"/>
    <mergeCell ref="B45:L53"/>
    <mergeCell ref="K32:R32"/>
    <mergeCell ref="K33:R33"/>
    <mergeCell ref="K34:R34"/>
    <mergeCell ref="K35:R35"/>
    <mergeCell ref="K36:R36"/>
    <mergeCell ref="T33:AA35"/>
    <mergeCell ref="M15:S15"/>
    <mergeCell ref="M16:S16"/>
    <mergeCell ref="M17:S17"/>
    <mergeCell ref="M18:S18"/>
    <mergeCell ref="M19:S19"/>
    <mergeCell ref="B54:L54"/>
    <mergeCell ref="B55:L55"/>
    <mergeCell ref="AM31:AQ31"/>
    <mergeCell ref="AA27:AL27"/>
    <mergeCell ref="AA28:AL28"/>
    <mergeCell ref="AA29:AL29"/>
    <mergeCell ref="AA30:AL30"/>
    <mergeCell ref="AA31:AL31"/>
    <mergeCell ref="M25:S25"/>
    <mergeCell ref="AM27:AQ27"/>
    <mergeCell ref="AM28:AQ28"/>
    <mergeCell ref="AM29:AQ29"/>
    <mergeCell ref="AM30:AQ30"/>
    <mergeCell ref="C25:F25"/>
    <mergeCell ref="M48:AQ48"/>
    <mergeCell ref="M49:AQ49"/>
    <mergeCell ref="M40:AQ40"/>
    <mergeCell ref="M41:AQ41"/>
    <mergeCell ref="M42:AQ42"/>
    <mergeCell ref="G23:L23"/>
    <mergeCell ref="G24:L24"/>
    <mergeCell ref="G25:L25"/>
    <mergeCell ref="G16:L16"/>
    <mergeCell ref="G17:L17"/>
    <mergeCell ref="G18:L18"/>
    <mergeCell ref="G19:L19"/>
    <mergeCell ref="G20:L20"/>
    <mergeCell ref="M20:S20"/>
    <mergeCell ref="M21:S21"/>
    <mergeCell ref="M22:S22"/>
    <mergeCell ref="M23:S23"/>
    <mergeCell ref="M24:S24"/>
    <mergeCell ref="M5:S5"/>
    <mergeCell ref="M6:S6"/>
    <mergeCell ref="M7:S7"/>
    <mergeCell ref="M8:S8"/>
    <mergeCell ref="M9:S9"/>
    <mergeCell ref="M10:S10"/>
    <mergeCell ref="G11:L11"/>
    <mergeCell ref="G12:L12"/>
    <mergeCell ref="G13:L13"/>
    <mergeCell ref="M11:S11"/>
    <mergeCell ref="M12:S12"/>
    <mergeCell ref="M13:S13"/>
    <mergeCell ref="C5:F5"/>
    <mergeCell ref="C6:F6"/>
    <mergeCell ref="C7:F7"/>
    <mergeCell ref="C8:F8"/>
    <mergeCell ref="C9:F9"/>
    <mergeCell ref="C10:F10"/>
    <mergeCell ref="G5:L5"/>
    <mergeCell ref="G6:L6"/>
    <mergeCell ref="G7:L7"/>
    <mergeCell ref="G8:L8"/>
    <mergeCell ref="G9:L9"/>
    <mergeCell ref="G10:L10"/>
    <mergeCell ref="M14:S14"/>
    <mergeCell ref="B38:AQ38"/>
    <mergeCell ref="C37:AP37"/>
    <mergeCell ref="AJ7:AM7"/>
    <mergeCell ref="AC7:AI7"/>
    <mergeCell ref="AC8:AM10"/>
    <mergeCell ref="G14:L14"/>
    <mergeCell ref="G15:L15"/>
    <mergeCell ref="C21:F21"/>
    <mergeCell ref="C22:F22"/>
    <mergeCell ref="C23:F23"/>
    <mergeCell ref="C24:F24"/>
    <mergeCell ref="C16:F16"/>
    <mergeCell ref="C17:F17"/>
    <mergeCell ref="C18:F18"/>
    <mergeCell ref="C19:F19"/>
    <mergeCell ref="C20:F20"/>
    <mergeCell ref="C11:F11"/>
    <mergeCell ref="C12:F12"/>
    <mergeCell ref="C13:F13"/>
    <mergeCell ref="C14:F14"/>
    <mergeCell ref="C15:F15"/>
    <mergeCell ref="G21:L21"/>
    <mergeCell ref="G22:L22"/>
  </mergeCells>
  <phoneticPr fontId="1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oleObjects>
    <oleObject progId="Equation.3" shapeId="5135" r:id="rId4"/>
    <oleObject progId="Equation.3" shapeId="5136" r:id="rId5"/>
    <oleObject progId="Equation.3" shapeId="5138" r:id="rId6"/>
    <oleObject progId="Equation.3" shapeId="5139" r:id="rId7"/>
    <oleObject progId="Equation.3" shapeId="5140" r:id="rId8"/>
  </oleObjec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 enableFormatConditionsCalculation="0"/>
  <dimension ref="A1:BI56"/>
  <sheetViews>
    <sheetView showGridLines="0" showRowColHeaders="0" workbookViewId="0">
      <selection activeCell="BB20" sqref="BB20"/>
    </sheetView>
  </sheetViews>
  <sheetFormatPr defaultColWidth="9.140625" defaultRowHeight="12.75"/>
  <cols>
    <col min="1" max="1" width="2.85546875" customWidth="1"/>
    <col min="2" max="3" width="2.140625" customWidth="1"/>
    <col min="4" max="4" width="2.140625" style="2" customWidth="1"/>
    <col min="5" max="59" width="2.140625" customWidth="1"/>
  </cols>
  <sheetData>
    <row r="1" spans="1:44" ht="4.5" customHeight="1">
      <c r="A1" s="5"/>
      <c r="B1" s="5"/>
      <c r="C1" s="5"/>
      <c r="D1" s="37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4">
      <c r="A2" s="5"/>
      <c r="B2" s="5"/>
      <c r="C2" s="5"/>
      <c r="D2" s="37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</row>
    <row r="3" spans="1:44">
      <c r="A3" s="5"/>
      <c r="B3" s="5"/>
      <c r="C3" s="5"/>
      <c r="D3" s="37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spans="1:44">
      <c r="A4" s="5"/>
      <c r="B4" s="5"/>
      <c r="C4" s="5"/>
      <c r="D4" s="37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>
      <c r="A5" s="5"/>
      <c r="B5" s="5"/>
      <c r="C5" s="103">
        <f>AM27</f>
        <v>10</v>
      </c>
      <c r="D5" s="103"/>
      <c r="E5" s="103"/>
      <c r="F5" s="103"/>
      <c r="G5" s="104">
        <f t="shared" ref="G5:G25" si="0">1-EXP((C5-30)/$AJ$6)</f>
        <v>7.65341270975326E-2</v>
      </c>
      <c r="H5" s="104"/>
      <c r="I5" s="104"/>
      <c r="J5" s="104"/>
      <c r="K5" s="104"/>
      <c r="L5" s="104"/>
      <c r="M5" s="103">
        <f t="shared" ref="M5:M25" si="1">(G5-MIN(G$5:G$25))/((MAX(G$5:G$25)-MIN(G$5:G$25)))</f>
        <v>1</v>
      </c>
      <c r="N5" s="103"/>
      <c r="O5" s="103"/>
      <c r="P5" s="103"/>
      <c r="Q5" s="103"/>
      <c r="R5" s="103"/>
      <c r="S5" s="103"/>
      <c r="T5" s="5"/>
      <c r="U5" s="5"/>
      <c r="V5" s="10"/>
      <c r="W5" s="10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>
      <c r="A6" s="5"/>
      <c r="B6" s="5"/>
      <c r="C6" s="103">
        <f t="shared" ref="C6:C24" si="2">C5+$AL$10</f>
        <v>59.5</v>
      </c>
      <c r="D6" s="103"/>
      <c r="E6" s="103"/>
      <c r="F6" s="103"/>
      <c r="G6" s="104">
        <f t="shared" si="0"/>
        <v>-0.12461596767596483</v>
      </c>
      <c r="H6" s="104"/>
      <c r="I6" s="104"/>
      <c r="J6" s="104"/>
      <c r="K6" s="104"/>
      <c r="L6" s="104"/>
      <c r="M6" s="103">
        <f t="shared" si="1"/>
        <v>0.99568530499097141</v>
      </c>
      <c r="N6" s="103"/>
      <c r="O6" s="103"/>
      <c r="P6" s="103"/>
      <c r="Q6" s="103"/>
      <c r="R6" s="103"/>
      <c r="S6" s="103"/>
      <c r="T6" s="5"/>
      <c r="U6" s="5"/>
      <c r="V6" s="10"/>
      <c r="W6" s="10"/>
      <c r="X6" s="5"/>
      <c r="Y6" s="60" t="s">
        <v>2</v>
      </c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109">
        <f>10^(3/10*(LOG(AM28^5)-AM29))</f>
        <v>251.18864315095806</v>
      </c>
      <c r="AK6" s="110"/>
      <c r="AL6" s="110"/>
      <c r="AM6" s="110"/>
      <c r="AN6" s="110"/>
      <c r="AO6" s="111"/>
      <c r="AP6" s="5"/>
      <c r="AQ6" s="5"/>
      <c r="AR6" s="5"/>
    </row>
    <row r="7" spans="1:44">
      <c r="A7" s="5"/>
      <c r="B7" s="5"/>
      <c r="C7" s="103">
        <f t="shared" si="2"/>
        <v>109</v>
      </c>
      <c r="D7" s="103"/>
      <c r="E7" s="103"/>
      <c r="F7" s="103"/>
      <c r="G7" s="104">
        <f t="shared" si="0"/>
        <v>-0.36958074127480578</v>
      </c>
      <c r="H7" s="104"/>
      <c r="I7" s="104"/>
      <c r="J7" s="104"/>
      <c r="K7" s="104"/>
      <c r="L7" s="104"/>
      <c r="M7" s="103">
        <f t="shared" si="1"/>
        <v>0.99043077957190606</v>
      </c>
      <c r="N7" s="103"/>
      <c r="O7" s="103"/>
      <c r="P7" s="103"/>
      <c r="Q7" s="103"/>
      <c r="R7" s="103"/>
      <c r="S7" s="103"/>
      <c r="T7" s="5"/>
      <c r="U7" s="5"/>
      <c r="V7" s="10"/>
      <c r="W7" s="10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</row>
    <row r="8" spans="1:44">
      <c r="A8" s="5"/>
      <c r="B8" s="5"/>
      <c r="C8" s="103">
        <f t="shared" si="2"/>
        <v>158.5</v>
      </c>
      <c r="D8" s="103"/>
      <c r="E8" s="103"/>
      <c r="F8" s="103"/>
      <c r="G8" s="104">
        <f t="shared" si="0"/>
        <v>-0.66790394302075762</v>
      </c>
      <c r="H8" s="104"/>
      <c r="I8" s="104"/>
      <c r="J8" s="104"/>
      <c r="K8" s="104"/>
      <c r="L8" s="104"/>
      <c r="M8" s="103">
        <f t="shared" si="1"/>
        <v>0.98403170911111348</v>
      </c>
      <c r="N8" s="103"/>
      <c r="O8" s="103"/>
      <c r="P8" s="103"/>
      <c r="Q8" s="103"/>
      <c r="R8" s="103"/>
      <c r="S8" s="103"/>
      <c r="T8" s="5"/>
      <c r="U8" s="5"/>
      <c r="V8" s="10"/>
      <c r="W8" s="10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</row>
    <row r="9" spans="1:44">
      <c r="A9" s="5"/>
      <c r="B9" s="5"/>
      <c r="C9" s="103">
        <f t="shared" si="2"/>
        <v>208</v>
      </c>
      <c r="D9" s="103"/>
      <c r="E9" s="103"/>
      <c r="F9" s="103"/>
      <c r="G9" s="104">
        <f t="shared" si="0"/>
        <v>-1.0312081495500545</v>
      </c>
      <c r="H9" s="104"/>
      <c r="I9" s="104"/>
      <c r="J9" s="104"/>
      <c r="K9" s="104"/>
      <c r="L9" s="104"/>
      <c r="M9" s="103">
        <f t="shared" si="1"/>
        <v>0.97623878786771978</v>
      </c>
      <c r="N9" s="103"/>
      <c r="O9" s="103"/>
      <c r="P9" s="103"/>
      <c r="Q9" s="103"/>
      <c r="R9" s="103"/>
      <c r="S9" s="103"/>
      <c r="T9" s="5"/>
      <c r="U9" s="5"/>
      <c r="V9" s="10"/>
      <c r="W9" s="10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</row>
    <row r="10" spans="1:44">
      <c r="A10" s="5"/>
      <c r="B10" s="5"/>
      <c r="C10" s="103">
        <f t="shared" si="2"/>
        <v>257.5</v>
      </c>
      <c r="D10" s="103"/>
      <c r="E10" s="103"/>
      <c r="F10" s="103"/>
      <c r="G10" s="104">
        <f t="shared" si="0"/>
        <v>-1.4736475766861412</v>
      </c>
      <c r="H10" s="104"/>
      <c r="I10" s="104"/>
      <c r="J10" s="104"/>
      <c r="K10" s="104"/>
      <c r="L10" s="104"/>
      <c r="M10" s="103">
        <f t="shared" si="1"/>
        <v>0.96674840611964674</v>
      </c>
      <c r="N10" s="103"/>
      <c r="O10" s="103"/>
      <c r="P10" s="103"/>
      <c r="Q10" s="103"/>
      <c r="R10" s="103"/>
      <c r="S10" s="103"/>
      <c r="T10" s="5"/>
      <c r="U10" s="5"/>
      <c r="V10" s="10"/>
      <c r="W10" s="10"/>
      <c r="X10" s="5"/>
      <c r="Y10" s="5"/>
      <c r="Z10" s="5"/>
      <c r="AA10" s="5"/>
      <c r="AB10" s="5"/>
      <c r="AC10" s="5"/>
      <c r="AD10" s="5"/>
      <c r="AE10" s="5"/>
      <c r="AF10" s="5"/>
      <c r="AG10" s="106" t="s">
        <v>0</v>
      </c>
      <c r="AH10" s="107"/>
      <c r="AI10" s="107"/>
      <c r="AJ10" s="107"/>
      <c r="AK10" s="108"/>
      <c r="AL10" s="85">
        <f>(AM28-AM27)/20</f>
        <v>49.5</v>
      </c>
      <c r="AM10" s="85"/>
      <c r="AN10" s="85"/>
      <c r="AO10" s="85"/>
      <c r="AP10" s="85"/>
      <c r="AQ10" s="5"/>
      <c r="AR10" s="5"/>
    </row>
    <row r="11" spans="1:44" ht="12.75" customHeight="1">
      <c r="A11" s="5"/>
      <c r="B11" s="5"/>
      <c r="C11" s="103">
        <f t="shared" si="2"/>
        <v>307</v>
      </c>
      <c r="D11" s="103"/>
      <c r="E11" s="103"/>
      <c r="F11" s="103"/>
      <c r="G11" s="104">
        <f t="shared" si="0"/>
        <v>-2.0124595231663784</v>
      </c>
      <c r="H11" s="104"/>
      <c r="I11" s="104"/>
      <c r="J11" s="104"/>
      <c r="K11" s="104"/>
      <c r="L11" s="104"/>
      <c r="M11" s="103">
        <f t="shared" si="1"/>
        <v>0.95519082162583324</v>
      </c>
      <c r="N11" s="103"/>
      <c r="O11" s="103"/>
      <c r="P11" s="103"/>
      <c r="Q11" s="103"/>
      <c r="R11" s="103"/>
      <c r="S11" s="103"/>
      <c r="T11" s="5"/>
      <c r="U11" s="5"/>
      <c r="V11" s="10"/>
      <c r="W11" s="10"/>
      <c r="X11" s="5"/>
      <c r="Y11" s="5"/>
      <c r="Z11" s="5"/>
      <c r="AA11" s="5"/>
      <c r="AB11" s="5"/>
      <c r="AC11" s="5"/>
      <c r="AD11" s="5"/>
      <c r="AE11" s="5"/>
      <c r="AF11" s="5"/>
      <c r="AG11" s="105" t="s">
        <v>16</v>
      </c>
      <c r="AH11" s="105"/>
      <c r="AI11" s="105"/>
      <c r="AJ11" s="105"/>
      <c r="AK11" s="105"/>
      <c r="AL11" s="105"/>
      <c r="AM11" s="105"/>
      <c r="AN11" s="105"/>
      <c r="AO11" s="105"/>
      <c r="AP11" s="105"/>
      <c r="AQ11" s="5"/>
      <c r="AR11" s="5"/>
    </row>
    <row r="12" spans="1:44">
      <c r="A12" s="5"/>
      <c r="B12" s="5"/>
      <c r="C12" s="103">
        <f t="shared" si="2"/>
        <v>356.5</v>
      </c>
      <c r="D12" s="103"/>
      <c r="E12" s="103"/>
      <c r="F12" s="103"/>
      <c r="G12" s="104">
        <f t="shared" si="0"/>
        <v>-2.6686359302941387</v>
      </c>
      <c r="H12" s="104"/>
      <c r="I12" s="104"/>
      <c r="J12" s="104"/>
      <c r="K12" s="104"/>
      <c r="L12" s="104"/>
      <c r="M12" s="103">
        <f t="shared" si="1"/>
        <v>0.94111575458664276</v>
      </c>
      <c r="N12" s="103"/>
      <c r="O12" s="103"/>
      <c r="P12" s="103"/>
      <c r="Q12" s="103"/>
      <c r="R12" s="103"/>
      <c r="S12" s="103"/>
      <c r="T12" s="5"/>
      <c r="U12" s="5"/>
      <c r="V12" s="10"/>
      <c r="W12" s="10"/>
      <c r="X12" s="5"/>
      <c r="Y12" s="5"/>
      <c r="Z12" s="5"/>
      <c r="AA12" s="5"/>
      <c r="AB12" s="5"/>
      <c r="AC12" s="5"/>
      <c r="AD12" s="5"/>
      <c r="AE12" s="5"/>
      <c r="AF12" s="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5"/>
      <c r="AR12" s="5"/>
    </row>
    <row r="13" spans="1:44">
      <c r="A13" s="5"/>
      <c r="B13" s="5"/>
      <c r="C13" s="103">
        <f t="shared" si="2"/>
        <v>406</v>
      </c>
      <c r="D13" s="103"/>
      <c r="E13" s="103"/>
      <c r="F13" s="103"/>
      <c r="G13" s="104">
        <f t="shared" si="0"/>
        <v>-3.4677412212657988</v>
      </c>
      <c r="H13" s="104"/>
      <c r="I13" s="104"/>
      <c r="J13" s="104"/>
      <c r="K13" s="104"/>
      <c r="L13" s="104"/>
      <c r="M13" s="103">
        <f t="shared" si="1"/>
        <v>0.92397484488671822</v>
      </c>
      <c r="N13" s="103"/>
      <c r="O13" s="103"/>
      <c r="P13" s="103"/>
      <c r="Q13" s="103"/>
      <c r="R13" s="103"/>
      <c r="S13" s="103"/>
      <c r="T13" s="5"/>
      <c r="U13" s="5"/>
      <c r="V13" s="10"/>
      <c r="W13" s="10"/>
      <c r="X13" s="5"/>
      <c r="Y13" s="5"/>
      <c r="Z13" s="5"/>
      <c r="AA13" s="5"/>
      <c r="AB13" s="5"/>
      <c r="AC13" s="5"/>
      <c r="AD13" s="5"/>
      <c r="AE13" s="5"/>
      <c r="AF13" s="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5"/>
      <c r="AR13" s="5"/>
    </row>
    <row r="14" spans="1:44">
      <c r="A14" s="5"/>
      <c r="B14" s="5"/>
      <c r="C14" s="103">
        <f t="shared" si="2"/>
        <v>455.5</v>
      </c>
      <c r="D14" s="103"/>
      <c r="E14" s="103"/>
      <c r="F14" s="103"/>
      <c r="G14" s="104">
        <f t="shared" si="0"/>
        <v>-4.4409082829315336</v>
      </c>
      <c r="H14" s="104"/>
      <c r="I14" s="104"/>
      <c r="J14" s="104"/>
      <c r="K14" s="104"/>
      <c r="L14" s="104"/>
      <c r="M14" s="103">
        <f t="shared" si="1"/>
        <v>0.90310028816006915</v>
      </c>
      <c r="N14" s="103"/>
      <c r="O14" s="103"/>
      <c r="P14" s="103"/>
      <c r="Q14" s="103"/>
      <c r="R14" s="103"/>
      <c r="S14" s="103"/>
      <c r="T14" s="5"/>
      <c r="U14" s="5"/>
      <c r="V14" s="10"/>
      <c r="W14" s="10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</row>
    <row r="15" spans="1:44">
      <c r="A15" s="5"/>
      <c r="B15" s="5"/>
      <c r="C15" s="103">
        <f t="shared" si="2"/>
        <v>505</v>
      </c>
      <c r="D15" s="103"/>
      <c r="E15" s="103"/>
      <c r="F15" s="103"/>
      <c r="G15" s="104">
        <f t="shared" si="0"/>
        <v>-5.6260513931211351</v>
      </c>
      <c r="H15" s="104"/>
      <c r="I15" s="104"/>
      <c r="J15" s="104"/>
      <c r="K15" s="104"/>
      <c r="L15" s="104"/>
      <c r="M15" s="103">
        <f t="shared" si="1"/>
        <v>0.87767881834531314</v>
      </c>
      <c r="N15" s="103"/>
      <c r="O15" s="103"/>
      <c r="P15" s="103"/>
      <c r="Q15" s="103"/>
      <c r="R15" s="103"/>
      <c r="S15" s="103"/>
      <c r="T15" s="5"/>
      <c r="U15" s="5"/>
      <c r="V15" s="10"/>
      <c r="W15" s="10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</row>
    <row r="16" spans="1:44">
      <c r="A16" s="5"/>
      <c r="B16" s="5"/>
      <c r="C16" s="103">
        <f t="shared" si="2"/>
        <v>554.5</v>
      </c>
      <c r="D16" s="103"/>
      <c r="E16" s="103"/>
      <c r="F16" s="103"/>
      <c r="G16" s="104">
        <f t="shared" si="0"/>
        <v>-7.0693433487959823</v>
      </c>
      <c r="H16" s="104"/>
      <c r="I16" s="104"/>
      <c r="J16" s="104"/>
      <c r="K16" s="104"/>
      <c r="L16" s="104"/>
      <c r="M16" s="103">
        <f t="shared" si="1"/>
        <v>0.8467200230997346</v>
      </c>
      <c r="N16" s="103"/>
      <c r="O16" s="103"/>
      <c r="P16" s="103"/>
      <c r="Q16" s="103"/>
      <c r="R16" s="103"/>
      <c r="S16" s="103"/>
      <c r="T16" s="5"/>
      <c r="U16" s="5"/>
      <c r="V16" s="10"/>
      <c r="W16" s="10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</row>
    <row r="17" spans="1:44">
      <c r="A17" s="5"/>
      <c r="B17" s="5"/>
      <c r="C17" s="103">
        <f t="shared" si="2"/>
        <v>604</v>
      </c>
      <c r="D17" s="103"/>
      <c r="E17" s="103"/>
      <c r="F17" s="103"/>
      <c r="G17" s="104">
        <f t="shared" si="0"/>
        <v>-8.827014343468063</v>
      </c>
      <c r="H17" s="104"/>
      <c r="I17" s="104"/>
      <c r="J17" s="104"/>
      <c r="K17" s="104"/>
      <c r="L17" s="104"/>
      <c r="M17" s="103">
        <f t="shared" si="1"/>
        <v>0.80901775765081352</v>
      </c>
      <c r="N17" s="103"/>
      <c r="O17" s="103"/>
      <c r="P17" s="103"/>
      <c r="Q17" s="103"/>
      <c r="R17" s="103"/>
      <c r="S17" s="103"/>
      <c r="T17" s="5"/>
      <c r="U17" s="5"/>
      <c r="V17" s="10"/>
      <c r="W17" s="10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</row>
    <row r="18" spans="1:44">
      <c r="A18" s="5"/>
      <c r="B18" s="5"/>
      <c r="C18" s="103">
        <f t="shared" si="2"/>
        <v>653.5</v>
      </c>
      <c r="D18" s="103"/>
      <c r="E18" s="103"/>
      <c r="F18" s="103"/>
      <c r="G18" s="104">
        <f t="shared" si="0"/>
        <v>-10.967542677575645</v>
      </c>
      <c r="H18" s="104"/>
      <c r="I18" s="104"/>
      <c r="J18" s="104"/>
      <c r="K18" s="104"/>
      <c r="L18" s="104"/>
      <c r="M18" s="103">
        <f t="shared" si="1"/>
        <v>0.76310315378120996</v>
      </c>
      <c r="N18" s="103"/>
      <c r="O18" s="103"/>
      <c r="P18" s="103"/>
      <c r="Q18" s="103"/>
      <c r="R18" s="103"/>
      <c r="S18" s="103"/>
      <c r="T18" s="5"/>
      <c r="U18" s="5"/>
      <c r="V18" s="10"/>
      <c r="W18" s="10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</row>
    <row r="19" spans="1:44">
      <c r="A19" s="5"/>
      <c r="B19" s="5"/>
      <c r="C19" s="103">
        <f t="shared" si="2"/>
        <v>703</v>
      </c>
      <c r="D19" s="103"/>
      <c r="E19" s="103"/>
      <c r="F19" s="103"/>
      <c r="G19" s="104">
        <f t="shared" si="0"/>
        <v>-13.574322651191908</v>
      </c>
      <c r="H19" s="104"/>
      <c r="I19" s="104"/>
      <c r="J19" s="104"/>
      <c r="K19" s="104"/>
      <c r="L19" s="104"/>
      <c r="M19" s="103">
        <f t="shared" si="1"/>
        <v>0.70718739319226798</v>
      </c>
      <c r="N19" s="103"/>
      <c r="O19" s="103"/>
      <c r="P19" s="103"/>
      <c r="Q19" s="103"/>
      <c r="R19" s="103"/>
      <c r="S19" s="103"/>
      <c r="T19" s="5"/>
      <c r="U19" s="5"/>
      <c r="V19" s="10"/>
      <c r="W19" s="10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</row>
    <row r="20" spans="1:44">
      <c r="A20" s="5"/>
      <c r="B20" s="5"/>
      <c r="C20" s="103">
        <f t="shared" si="2"/>
        <v>752.5</v>
      </c>
      <c r="D20" s="103"/>
      <c r="E20" s="103"/>
      <c r="F20" s="103"/>
      <c r="G20" s="104">
        <f t="shared" si="0"/>
        <v>-16.748913579314287</v>
      </c>
      <c r="H20" s="104"/>
      <c r="I20" s="104"/>
      <c r="J20" s="104"/>
      <c r="K20" s="104"/>
      <c r="L20" s="104"/>
      <c r="M20" s="103">
        <f t="shared" si="1"/>
        <v>0.63909201571456409</v>
      </c>
      <c r="N20" s="103"/>
      <c r="O20" s="103"/>
      <c r="P20" s="103"/>
      <c r="Q20" s="103"/>
      <c r="R20" s="103"/>
      <c r="S20" s="103"/>
      <c r="T20" s="5"/>
      <c r="U20" s="5"/>
      <c r="V20" s="10"/>
      <c r="W20" s="10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</row>
    <row r="21" spans="1:44">
      <c r="A21" s="5"/>
      <c r="B21" s="5"/>
      <c r="C21" s="103">
        <f t="shared" si="2"/>
        <v>802</v>
      </c>
      <c r="D21" s="103"/>
      <c r="E21" s="103"/>
      <c r="F21" s="103"/>
      <c r="G21" s="104">
        <f t="shared" si="0"/>
        <v>-20.614996510332087</v>
      </c>
      <c r="H21" s="104"/>
      <c r="I21" s="104"/>
      <c r="J21" s="104"/>
      <c r="K21" s="104"/>
      <c r="L21" s="104"/>
      <c r="M21" s="103">
        <f t="shared" si="1"/>
        <v>0.55616404719564938</v>
      </c>
      <c r="N21" s="103"/>
      <c r="O21" s="103"/>
      <c r="P21" s="103"/>
      <c r="Q21" s="103"/>
      <c r="R21" s="103"/>
      <c r="S21" s="103"/>
      <c r="T21" s="5"/>
      <c r="U21" s="5"/>
      <c r="V21" s="10"/>
      <c r="W21" s="10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</row>
    <row r="22" spans="1:44">
      <c r="A22" s="5"/>
      <c r="B22" s="5"/>
      <c r="C22" s="103">
        <f t="shared" si="2"/>
        <v>851.5</v>
      </c>
      <c r="D22" s="103"/>
      <c r="E22" s="103"/>
      <c r="F22" s="103"/>
      <c r="G22" s="104">
        <f t="shared" si="0"/>
        <v>-25.323192800160033</v>
      </c>
      <c r="H22" s="104"/>
      <c r="I22" s="104"/>
      <c r="J22" s="104"/>
      <c r="K22" s="104"/>
      <c r="L22" s="104"/>
      <c r="M22" s="103">
        <f t="shared" si="1"/>
        <v>0.45517264047460065</v>
      </c>
      <c r="N22" s="103"/>
      <c r="O22" s="103"/>
      <c r="P22" s="103"/>
      <c r="Q22" s="103"/>
      <c r="R22" s="103"/>
      <c r="S22" s="103"/>
      <c r="T22" s="5"/>
      <c r="U22" s="5"/>
      <c r="V22" s="10"/>
      <c r="W22" s="10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</row>
    <row r="23" spans="1:44">
      <c r="A23" s="5"/>
      <c r="B23" s="5"/>
      <c r="C23" s="103">
        <f t="shared" si="2"/>
        <v>901</v>
      </c>
      <c r="D23" s="103"/>
      <c r="E23" s="103"/>
      <c r="F23" s="103"/>
      <c r="G23" s="104">
        <f t="shared" si="0"/>
        <v>-31.056932272146412</v>
      </c>
      <c r="H23" s="104"/>
      <c r="I23" s="104"/>
      <c r="J23" s="104"/>
      <c r="K23" s="104"/>
      <c r="L23" s="104"/>
      <c r="M23" s="103">
        <f t="shared" si="1"/>
        <v>0.33218320260877449</v>
      </c>
      <c r="N23" s="103"/>
      <c r="O23" s="103"/>
      <c r="P23" s="103"/>
      <c r="Q23" s="103"/>
      <c r="R23" s="103"/>
      <c r="S23" s="103"/>
      <c r="T23" s="5"/>
      <c r="U23" s="5"/>
      <c r="V23" s="10"/>
      <c r="W23" s="10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</row>
    <row r="24" spans="1:44">
      <c r="A24" s="5"/>
      <c r="B24" s="5"/>
      <c r="C24" s="103">
        <f t="shared" si="2"/>
        <v>950.5</v>
      </c>
      <c r="D24" s="103"/>
      <c r="E24" s="103"/>
      <c r="F24" s="103"/>
      <c r="G24" s="104">
        <f t="shared" si="0"/>
        <v>-38.039599584391404</v>
      </c>
      <c r="H24" s="104"/>
      <c r="I24" s="104"/>
      <c r="J24" s="104"/>
      <c r="K24" s="104"/>
      <c r="L24" s="104"/>
      <c r="M24" s="103">
        <f t="shared" si="1"/>
        <v>0.18240410438972463</v>
      </c>
      <c r="N24" s="103"/>
      <c r="O24" s="103"/>
      <c r="P24" s="103"/>
      <c r="Q24" s="103"/>
      <c r="R24" s="103"/>
      <c r="S24" s="103"/>
      <c r="T24" s="5"/>
      <c r="U24" s="5"/>
      <c r="V24" s="10"/>
      <c r="W24" s="10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</row>
    <row r="25" spans="1:44">
      <c r="A25" s="5"/>
      <c r="B25" s="5"/>
      <c r="C25" s="103">
        <f>AM28</f>
        <v>1000</v>
      </c>
      <c r="D25" s="103"/>
      <c r="E25" s="103"/>
      <c r="F25" s="103"/>
      <c r="G25" s="104">
        <f t="shared" si="0"/>
        <v>-46.543237224663031</v>
      </c>
      <c r="H25" s="104"/>
      <c r="I25" s="104"/>
      <c r="J25" s="104"/>
      <c r="K25" s="104"/>
      <c r="L25" s="104"/>
      <c r="M25" s="103">
        <f t="shared" si="1"/>
        <v>0</v>
      </c>
      <c r="N25" s="103"/>
      <c r="O25" s="103"/>
      <c r="P25" s="103"/>
      <c r="Q25" s="103"/>
      <c r="R25" s="103"/>
      <c r="S25" s="103"/>
      <c r="T25" s="5"/>
      <c r="U25" s="5"/>
      <c r="V25" s="10"/>
      <c r="W25" s="10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</row>
    <row r="26" spans="1:44">
      <c r="A26" s="5"/>
      <c r="B26" s="5"/>
      <c r="C26" s="5"/>
      <c r="D26" s="37"/>
      <c r="E26" s="5"/>
      <c r="F26" s="38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</row>
    <row r="27" spans="1:44">
      <c r="A27" s="5"/>
      <c r="B27" s="5"/>
      <c r="C27" s="5"/>
      <c r="D27" s="37"/>
      <c r="E27" s="5"/>
      <c r="F27" s="38"/>
      <c r="G27" s="5"/>
      <c r="H27" s="5"/>
      <c r="I27" s="5"/>
      <c r="J27" s="5"/>
      <c r="K27" s="5"/>
      <c r="L27" s="5"/>
      <c r="M27" s="5"/>
      <c r="N27" s="5"/>
      <c r="O27" s="5"/>
      <c r="P27" s="23"/>
      <c r="Q27" s="39"/>
      <c r="R27" s="39"/>
      <c r="S27" s="39"/>
      <c r="T27" s="39"/>
      <c r="U27" s="39"/>
      <c r="V27" s="23"/>
      <c r="W27" s="5"/>
      <c r="X27" s="5"/>
      <c r="Y27" s="5"/>
      <c r="Z27" s="5"/>
      <c r="AA27" s="112" t="s">
        <v>13</v>
      </c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85">
        <v>10</v>
      </c>
      <c r="AN27" s="85"/>
      <c r="AO27" s="85"/>
      <c r="AP27" s="85"/>
      <c r="AQ27" s="85"/>
      <c r="AR27" s="5"/>
    </row>
    <row r="28" spans="1:44">
      <c r="A28" s="5"/>
      <c r="B28" s="5"/>
      <c r="C28" s="5"/>
      <c r="D28" s="37"/>
      <c r="E28" s="5"/>
      <c r="F28" s="38"/>
      <c r="G28" s="5"/>
      <c r="H28" s="5"/>
      <c r="I28" s="5"/>
      <c r="J28" s="5"/>
      <c r="K28" s="5"/>
      <c r="L28" s="5"/>
      <c r="M28" s="5"/>
      <c r="N28" s="5"/>
      <c r="O28" s="5"/>
      <c r="P28" s="23"/>
      <c r="Q28" s="39"/>
      <c r="R28" s="39"/>
      <c r="S28" s="39"/>
      <c r="T28" s="39"/>
      <c r="U28" s="39"/>
      <c r="V28" s="23"/>
      <c r="W28" s="5"/>
      <c r="X28" s="5"/>
      <c r="Y28" s="5"/>
      <c r="Z28" s="5"/>
      <c r="AA28" s="112" t="s">
        <v>18</v>
      </c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85">
        <v>1000</v>
      </c>
      <c r="AN28" s="85"/>
      <c r="AO28" s="85"/>
      <c r="AP28" s="85"/>
      <c r="AQ28" s="85"/>
      <c r="AR28" s="5"/>
    </row>
    <row r="29" spans="1:44">
      <c r="A29" s="5"/>
      <c r="B29" s="5"/>
      <c r="C29" s="5"/>
      <c r="D29" s="37"/>
      <c r="E29" s="5"/>
      <c r="F29" s="38"/>
      <c r="G29" s="5"/>
      <c r="H29" s="5"/>
      <c r="I29" s="5"/>
      <c r="J29" s="5"/>
      <c r="K29" s="5"/>
      <c r="L29" s="5"/>
      <c r="M29" s="5"/>
      <c r="N29" s="5"/>
      <c r="O29" s="5"/>
      <c r="P29" s="23"/>
      <c r="Q29" s="39"/>
      <c r="R29" s="39"/>
      <c r="S29" s="39"/>
      <c r="T29" s="39"/>
      <c r="U29" s="39"/>
      <c r="V29" s="23"/>
      <c r="W29" s="5"/>
      <c r="X29" s="5"/>
      <c r="Y29" s="5"/>
      <c r="Z29" s="5"/>
      <c r="AA29" s="112" t="s">
        <v>1</v>
      </c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85">
        <v>7</v>
      </c>
      <c r="AN29" s="85"/>
      <c r="AO29" s="85"/>
      <c r="AP29" s="85"/>
      <c r="AQ29" s="85"/>
      <c r="AR29" s="5"/>
    </row>
    <row r="30" spans="1:44">
      <c r="A30" s="5"/>
      <c r="B30" s="5"/>
      <c r="C30" s="5"/>
      <c r="D30" s="37"/>
      <c r="E30" s="5"/>
      <c r="F30" s="38"/>
      <c r="G30" s="5"/>
      <c r="H30" s="5"/>
      <c r="I30" s="5"/>
      <c r="J30" s="5"/>
      <c r="K30" s="5"/>
      <c r="L30" s="5"/>
      <c r="M30" s="5"/>
      <c r="N30" s="5"/>
      <c r="O30" s="5"/>
      <c r="P30" s="23"/>
      <c r="Q30" s="39"/>
      <c r="R30" s="39"/>
      <c r="S30" s="39"/>
      <c r="T30" s="39"/>
      <c r="U30" s="39"/>
      <c r="V30" s="23"/>
      <c r="W30" s="5"/>
      <c r="X30" s="5"/>
      <c r="Y30" s="5"/>
      <c r="Z30" s="5"/>
      <c r="AA30" s="112" t="s">
        <v>9</v>
      </c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85" t="s">
        <v>21</v>
      </c>
      <c r="AN30" s="85"/>
      <c r="AO30" s="85"/>
      <c r="AP30" s="85"/>
      <c r="AQ30" s="85"/>
      <c r="AR30" s="5"/>
    </row>
    <row r="31" spans="1:44" ht="6" customHeight="1">
      <c r="A31" s="5"/>
      <c r="B31" s="5"/>
      <c r="C31" s="8"/>
      <c r="D31" s="8"/>
      <c r="E31" s="8"/>
      <c r="F31" s="8"/>
      <c r="G31" s="8"/>
      <c r="H31" s="8"/>
      <c r="I31" s="8"/>
      <c r="J31" s="8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</row>
    <row r="32" spans="1:44" ht="12.75" customHeight="1">
      <c r="A32" s="5"/>
      <c r="B32" s="5"/>
      <c r="C32" s="8"/>
      <c r="D32" s="8"/>
      <c r="E32" s="5"/>
      <c r="F32" s="5"/>
      <c r="G32" s="5"/>
      <c r="H32" s="5"/>
      <c r="I32" s="5"/>
      <c r="J32" s="24" t="s">
        <v>19</v>
      </c>
      <c r="K32" s="80">
        <f>VALUE(AJ6)</f>
        <v>251.18864315095806</v>
      </c>
      <c r="L32" s="80"/>
      <c r="M32" s="80"/>
      <c r="N32" s="80"/>
      <c r="O32" s="80"/>
      <c r="P32" s="80"/>
      <c r="Q32" s="80"/>
      <c r="R32" s="80"/>
      <c r="S32" s="5"/>
      <c r="T32" s="5"/>
      <c r="U32" s="56" t="s">
        <v>23</v>
      </c>
      <c r="V32" s="56"/>
      <c r="W32" s="56"/>
      <c r="X32" s="56"/>
      <c r="Y32" s="56"/>
      <c r="Z32" s="56"/>
      <c r="AA32" s="56"/>
      <c r="AB32" s="56"/>
      <c r="AC32" s="30"/>
      <c r="AD32" s="30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</row>
    <row r="33" spans="1:61">
      <c r="A33" s="5"/>
      <c r="B33" s="5"/>
      <c r="C33" s="8"/>
      <c r="D33" s="8"/>
      <c r="E33" s="5"/>
      <c r="F33" s="5"/>
      <c r="G33" s="5"/>
      <c r="H33" s="5"/>
      <c r="I33" s="5"/>
      <c r="J33" s="24" t="s">
        <v>19</v>
      </c>
      <c r="K33" s="80" t="s">
        <v>20</v>
      </c>
      <c r="L33" s="80"/>
      <c r="M33" s="80"/>
      <c r="N33" s="80"/>
      <c r="O33" s="80"/>
      <c r="P33" s="80"/>
      <c r="Q33" s="80"/>
      <c r="R33" s="80"/>
      <c r="S33" s="12"/>
      <c r="T33" s="12"/>
      <c r="U33" s="56"/>
      <c r="V33" s="56"/>
      <c r="W33" s="56"/>
      <c r="X33" s="56"/>
      <c r="Y33" s="56"/>
      <c r="Z33" s="56"/>
      <c r="AA33" s="56"/>
      <c r="AB33" s="56"/>
      <c r="AC33" s="30"/>
      <c r="AD33" s="30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</row>
    <row r="34" spans="1:61">
      <c r="A34" s="5"/>
      <c r="B34" s="5"/>
      <c r="C34" s="8"/>
      <c r="D34" s="19"/>
      <c r="E34" s="5"/>
      <c r="F34" s="5"/>
      <c r="G34" s="5"/>
      <c r="H34" s="5"/>
      <c r="I34" s="5"/>
      <c r="J34" s="25" t="s">
        <v>19</v>
      </c>
      <c r="K34" s="82">
        <f>MIN(G5:G25)</f>
        <v>-46.543237224663031</v>
      </c>
      <c r="L34" s="82"/>
      <c r="M34" s="82"/>
      <c r="N34" s="82"/>
      <c r="O34" s="82"/>
      <c r="P34" s="82"/>
      <c r="Q34" s="82"/>
      <c r="R34" s="82"/>
      <c r="S34" s="26"/>
      <c r="T34" s="26"/>
      <c r="U34" s="56"/>
      <c r="V34" s="56"/>
      <c r="W34" s="56"/>
      <c r="X34" s="56"/>
      <c r="Y34" s="56"/>
      <c r="Z34" s="56"/>
      <c r="AA34" s="56"/>
      <c r="AB34" s="56"/>
      <c r="AC34" s="30"/>
      <c r="AD34" s="30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</row>
    <row r="35" spans="1:61">
      <c r="A35" s="5"/>
      <c r="B35" s="5"/>
      <c r="C35" s="8"/>
      <c r="D35" s="19"/>
      <c r="E35" s="5"/>
      <c r="F35" s="5"/>
      <c r="G35" s="5"/>
      <c r="H35" s="5"/>
      <c r="I35" s="5"/>
      <c r="J35" s="25" t="s">
        <v>19</v>
      </c>
      <c r="K35" s="81">
        <f>MAX(G5:G25)</f>
        <v>7.65341270975326E-2</v>
      </c>
      <c r="L35" s="81"/>
      <c r="M35" s="81"/>
      <c r="N35" s="81"/>
      <c r="O35" s="81"/>
      <c r="P35" s="81"/>
      <c r="Q35" s="81"/>
      <c r="R35" s="81"/>
      <c r="S35" s="27"/>
      <c r="T35" s="27"/>
      <c r="U35" s="56"/>
      <c r="V35" s="56"/>
      <c r="W35" s="56"/>
      <c r="X35" s="56"/>
      <c r="Y35" s="56"/>
      <c r="Z35" s="56"/>
      <c r="AA35" s="56"/>
      <c r="AB35" s="56"/>
      <c r="AC35" s="30"/>
      <c r="AD35" s="30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</row>
    <row r="36" spans="1:61" ht="6.75" customHeight="1">
      <c r="A36" s="5"/>
      <c r="B36" s="5"/>
      <c r="C36" s="8"/>
      <c r="D36" s="19"/>
      <c r="E36" s="18"/>
      <c r="F36" s="15"/>
      <c r="G36" s="15"/>
      <c r="H36" s="15"/>
      <c r="I36" s="15"/>
      <c r="J36" s="5"/>
      <c r="K36" s="16"/>
      <c r="L36" s="16"/>
      <c r="M36" s="16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12"/>
      <c r="AS36" s="12"/>
      <c r="AU36" s="12"/>
      <c r="AW36" s="12"/>
      <c r="AX36" s="12"/>
      <c r="AY36" s="12"/>
      <c r="BI36" s="10"/>
    </row>
    <row r="37" spans="1:61">
      <c r="A37" s="5"/>
      <c r="B37" s="5"/>
      <c r="C37" s="80" t="s">
        <v>22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5"/>
      <c r="AR37" s="5"/>
      <c r="AZ37" s="28"/>
    </row>
    <row r="38" spans="1:61">
      <c r="A38" s="5"/>
      <c r="B38" s="113" t="str">
        <f>"funcion_de_valor=((1-exp ((mapa_atributo-30.0)/"&amp;VALUE(AJ6)&amp;"))-("&amp;MIN(G5:G25)&amp;"))/(("&amp;MAX(G5:G25)&amp;")-("&amp;MIN(G5:G25)&amp;"))"</f>
        <v>funcion_de_valor=((1-exp ((mapa_atributo-30.0)/251.188643150958))-(-46.543237224663))/((0.0765341270975326)-(-46.543237224663))</v>
      </c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5"/>
    </row>
    <row r="39" spans="1:61" ht="6" customHeight="1" thickBo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</row>
    <row r="40" spans="1:61" ht="13.5" customHeight="1" thickBot="1">
      <c r="A40" s="5"/>
      <c r="B40" s="65" t="s">
        <v>4</v>
      </c>
      <c r="C40" s="66"/>
      <c r="D40" s="66"/>
      <c r="E40" s="66"/>
      <c r="F40" s="66"/>
      <c r="G40" s="66"/>
      <c r="H40" s="66"/>
      <c r="I40" s="66"/>
      <c r="J40" s="66"/>
      <c r="K40" s="66"/>
      <c r="L40" s="67"/>
      <c r="M40" s="89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1"/>
      <c r="AR40" s="5"/>
    </row>
    <row r="41" spans="1:61" ht="13.5" customHeight="1" thickBot="1">
      <c r="A41" s="5"/>
      <c r="B41" s="65" t="s">
        <v>10</v>
      </c>
      <c r="C41" s="66"/>
      <c r="D41" s="66"/>
      <c r="E41" s="66"/>
      <c r="F41" s="66"/>
      <c r="G41" s="66"/>
      <c r="H41" s="66"/>
      <c r="I41" s="66"/>
      <c r="J41" s="66"/>
      <c r="K41" s="66"/>
      <c r="L41" s="67"/>
      <c r="M41" s="89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1"/>
      <c r="AR41" s="5"/>
    </row>
    <row r="42" spans="1:61" ht="27" customHeight="1" thickBot="1">
      <c r="A42" s="5"/>
      <c r="B42" s="65" t="s">
        <v>12</v>
      </c>
      <c r="C42" s="66"/>
      <c r="D42" s="66"/>
      <c r="E42" s="66"/>
      <c r="F42" s="66"/>
      <c r="G42" s="66"/>
      <c r="H42" s="66"/>
      <c r="I42" s="66"/>
      <c r="J42" s="66"/>
      <c r="K42" s="66"/>
      <c r="L42" s="67"/>
      <c r="M42" s="89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1"/>
      <c r="AR42" s="5"/>
    </row>
    <row r="43" spans="1:61" ht="13.5" customHeight="1" thickBot="1">
      <c r="A43" s="5"/>
      <c r="B43" s="65" t="s">
        <v>5</v>
      </c>
      <c r="C43" s="66"/>
      <c r="D43" s="66"/>
      <c r="E43" s="66"/>
      <c r="F43" s="66"/>
      <c r="G43" s="66"/>
      <c r="H43" s="66"/>
      <c r="I43" s="66"/>
      <c r="J43" s="66"/>
      <c r="K43" s="66"/>
      <c r="L43" s="67"/>
      <c r="M43" s="89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1"/>
      <c r="AR43" s="5"/>
    </row>
    <row r="44" spans="1:61" ht="13.5" customHeight="1" thickBot="1">
      <c r="A44" s="5"/>
      <c r="B44" s="65" t="s">
        <v>6</v>
      </c>
      <c r="C44" s="66"/>
      <c r="D44" s="66"/>
      <c r="E44" s="66"/>
      <c r="F44" s="66"/>
      <c r="G44" s="66"/>
      <c r="H44" s="66"/>
      <c r="I44" s="66"/>
      <c r="J44" s="66"/>
      <c r="K44" s="66"/>
      <c r="L44" s="67"/>
      <c r="M44" s="89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90"/>
      <c r="AP44" s="90"/>
      <c r="AQ44" s="91"/>
      <c r="AR44" s="5"/>
    </row>
    <row r="45" spans="1:61" ht="12.75" customHeight="1" thickBot="1">
      <c r="A45" s="5"/>
      <c r="B45" s="65" t="s">
        <v>7</v>
      </c>
      <c r="C45" s="66"/>
      <c r="D45" s="66"/>
      <c r="E45" s="66"/>
      <c r="F45" s="66"/>
      <c r="G45" s="66"/>
      <c r="H45" s="66"/>
      <c r="I45" s="66"/>
      <c r="J45" s="66"/>
      <c r="K45" s="66"/>
      <c r="L45" s="67"/>
      <c r="M45" s="92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4"/>
      <c r="AR45" s="5"/>
    </row>
    <row r="46" spans="1:61" ht="13.5" thickBot="1">
      <c r="A46" s="5"/>
      <c r="B46" s="65"/>
      <c r="C46" s="66"/>
      <c r="D46" s="66"/>
      <c r="E46" s="66"/>
      <c r="F46" s="66"/>
      <c r="G46" s="66"/>
      <c r="H46" s="66"/>
      <c r="I46" s="66"/>
      <c r="J46" s="66"/>
      <c r="K46" s="66"/>
      <c r="L46" s="67"/>
      <c r="M46" s="95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7"/>
      <c r="AR46" s="5"/>
    </row>
    <row r="47" spans="1:61" ht="13.5" thickBot="1">
      <c r="A47" s="5"/>
      <c r="B47" s="65"/>
      <c r="C47" s="66"/>
      <c r="D47" s="66"/>
      <c r="E47" s="66"/>
      <c r="F47" s="66"/>
      <c r="G47" s="66"/>
      <c r="H47" s="66"/>
      <c r="I47" s="66"/>
      <c r="J47" s="66"/>
      <c r="K47" s="66"/>
      <c r="L47" s="67"/>
      <c r="M47" s="95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7"/>
      <c r="AR47" s="5"/>
    </row>
    <row r="48" spans="1:61" ht="13.5" thickBot="1">
      <c r="A48" s="5"/>
      <c r="B48" s="65"/>
      <c r="C48" s="66"/>
      <c r="D48" s="66"/>
      <c r="E48" s="66"/>
      <c r="F48" s="66"/>
      <c r="G48" s="66"/>
      <c r="H48" s="66"/>
      <c r="I48" s="66"/>
      <c r="J48" s="66"/>
      <c r="K48" s="66"/>
      <c r="L48" s="67"/>
      <c r="M48" s="95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7"/>
      <c r="AR48" s="5"/>
    </row>
    <row r="49" spans="1:44" ht="13.5" thickBot="1">
      <c r="A49" s="5"/>
      <c r="B49" s="65"/>
      <c r="C49" s="66"/>
      <c r="D49" s="66"/>
      <c r="E49" s="66"/>
      <c r="F49" s="66"/>
      <c r="G49" s="66"/>
      <c r="H49" s="66"/>
      <c r="I49" s="66"/>
      <c r="J49" s="66"/>
      <c r="K49" s="66"/>
      <c r="L49" s="67"/>
      <c r="M49" s="95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7"/>
      <c r="AR49" s="5"/>
    </row>
    <row r="50" spans="1:44" ht="13.5" thickBot="1">
      <c r="A50" s="5"/>
      <c r="B50" s="65"/>
      <c r="C50" s="66"/>
      <c r="D50" s="66"/>
      <c r="E50" s="66"/>
      <c r="F50" s="66"/>
      <c r="G50" s="66"/>
      <c r="H50" s="66"/>
      <c r="I50" s="66"/>
      <c r="J50" s="66"/>
      <c r="K50" s="66"/>
      <c r="L50" s="67"/>
      <c r="M50" s="95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7"/>
      <c r="AR50" s="5"/>
    </row>
    <row r="51" spans="1:44" ht="13.5" thickBot="1">
      <c r="A51" s="5"/>
      <c r="B51" s="65"/>
      <c r="C51" s="66"/>
      <c r="D51" s="66"/>
      <c r="E51" s="66"/>
      <c r="F51" s="66"/>
      <c r="G51" s="66"/>
      <c r="H51" s="66"/>
      <c r="I51" s="66"/>
      <c r="J51" s="66"/>
      <c r="K51" s="66"/>
      <c r="L51" s="67"/>
      <c r="M51" s="95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7"/>
      <c r="AR51" s="5"/>
    </row>
    <row r="52" spans="1:44" ht="13.5" thickBot="1">
      <c r="A52" s="5"/>
      <c r="B52" s="65"/>
      <c r="C52" s="66"/>
      <c r="D52" s="66"/>
      <c r="E52" s="66"/>
      <c r="F52" s="66"/>
      <c r="G52" s="66"/>
      <c r="H52" s="66"/>
      <c r="I52" s="66"/>
      <c r="J52" s="66"/>
      <c r="K52" s="66"/>
      <c r="L52" s="67"/>
      <c r="M52" s="95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7"/>
      <c r="AR52" s="5"/>
    </row>
    <row r="53" spans="1:44" ht="13.5" thickBot="1">
      <c r="A53" s="5"/>
      <c r="B53" s="65"/>
      <c r="C53" s="66"/>
      <c r="D53" s="66"/>
      <c r="E53" s="66"/>
      <c r="F53" s="66"/>
      <c r="G53" s="66"/>
      <c r="H53" s="66"/>
      <c r="I53" s="66"/>
      <c r="J53" s="66"/>
      <c r="K53" s="66"/>
      <c r="L53" s="67"/>
      <c r="M53" s="98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  <c r="AF53" s="99"/>
      <c r="AG53" s="99"/>
      <c r="AH53" s="99"/>
      <c r="AI53" s="99"/>
      <c r="AJ53" s="99"/>
      <c r="AK53" s="99"/>
      <c r="AL53" s="99"/>
      <c r="AM53" s="99"/>
      <c r="AN53" s="99"/>
      <c r="AO53" s="99"/>
      <c r="AP53" s="99"/>
      <c r="AQ53" s="100"/>
      <c r="AR53" s="5"/>
    </row>
    <row r="54" spans="1:44" ht="26.25" customHeight="1" thickBot="1">
      <c r="A54" s="5"/>
      <c r="B54" s="65" t="s">
        <v>11</v>
      </c>
      <c r="C54" s="66"/>
      <c r="D54" s="66"/>
      <c r="E54" s="66"/>
      <c r="F54" s="66"/>
      <c r="G54" s="66"/>
      <c r="H54" s="66"/>
      <c r="I54" s="66"/>
      <c r="J54" s="66"/>
      <c r="K54" s="66"/>
      <c r="L54" s="67"/>
      <c r="M54" s="89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90"/>
      <c r="AJ54" s="90"/>
      <c r="AK54" s="90"/>
      <c r="AL54" s="90"/>
      <c r="AM54" s="90"/>
      <c r="AN54" s="90"/>
      <c r="AO54" s="90"/>
      <c r="AP54" s="90"/>
      <c r="AQ54" s="91"/>
      <c r="AR54" s="5"/>
    </row>
    <row r="55" spans="1:44" ht="13.5" customHeight="1" thickBot="1">
      <c r="A55" s="5"/>
      <c r="B55" s="65" t="s">
        <v>8</v>
      </c>
      <c r="C55" s="66"/>
      <c r="D55" s="66"/>
      <c r="E55" s="66"/>
      <c r="F55" s="66"/>
      <c r="G55" s="66"/>
      <c r="H55" s="66"/>
      <c r="I55" s="66"/>
      <c r="J55" s="66"/>
      <c r="K55" s="66"/>
      <c r="L55" s="67"/>
      <c r="M55" s="89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  <c r="AJ55" s="90"/>
      <c r="AK55" s="90"/>
      <c r="AL55" s="90"/>
      <c r="AM55" s="90"/>
      <c r="AN55" s="90"/>
      <c r="AO55" s="90"/>
      <c r="AP55" s="90"/>
      <c r="AQ55" s="91"/>
      <c r="AR55" s="5"/>
    </row>
    <row r="56" spans="1:44">
      <c r="A56" s="5"/>
      <c r="B56" s="5"/>
      <c r="C56" s="5"/>
      <c r="D56" s="37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</row>
  </sheetData>
  <mergeCells count="107">
    <mergeCell ref="M55:AQ55"/>
    <mergeCell ref="M44:AQ44"/>
    <mergeCell ref="M45:AQ45"/>
    <mergeCell ref="M46:AQ46"/>
    <mergeCell ref="M47:AQ47"/>
    <mergeCell ref="M48:AQ48"/>
    <mergeCell ref="B40:L40"/>
    <mergeCell ref="B41:L41"/>
    <mergeCell ref="B42:L42"/>
    <mergeCell ref="B43:L43"/>
    <mergeCell ref="B44:L44"/>
    <mergeCell ref="B45:L53"/>
    <mergeCell ref="B54:L54"/>
    <mergeCell ref="B55:L55"/>
    <mergeCell ref="M49:AQ49"/>
    <mergeCell ref="M50:AQ50"/>
    <mergeCell ref="M51:AQ51"/>
    <mergeCell ref="M52:AQ52"/>
    <mergeCell ref="M53:AQ53"/>
    <mergeCell ref="M54:AQ54"/>
    <mergeCell ref="U32:AB35"/>
    <mergeCell ref="M40:AQ40"/>
    <mergeCell ref="M41:AQ41"/>
    <mergeCell ref="M42:AQ42"/>
    <mergeCell ref="M43:AQ43"/>
    <mergeCell ref="K32:R32"/>
    <mergeCell ref="K33:R33"/>
    <mergeCell ref="K34:R34"/>
    <mergeCell ref="K35:R35"/>
    <mergeCell ref="B38:AQ38"/>
    <mergeCell ref="C37:AP37"/>
    <mergeCell ref="G21:L21"/>
    <mergeCell ref="G22:L22"/>
    <mergeCell ref="G23:L23"/>
    <mergeCell ref="G24:L24"/>
    <mergeCell ref="M20:S20"/>
    <mergeCell ref="M21:S21"/>
    <mergeCell ref="AM28:AQ28"/>
    <mergeCell ref="AM29:AQ29"/>
    <mergeCell ref="AM30:AQ30"/>
    <mergeCell ref="AA27:AL27"/>
    <mergeCell ref="AA28:AL28"/>
    <mergeCell ref="AA29:AL29"/>
    <mergeCell ref="AA30:AL30"/>
    <mergeCell ref="M22:S22"/>
    <mergeCell ref="M23:S23"/>
    <mergeCell ref="M24:S24"/>
    <mergeCell ref="M25:S25"/>
    <mergeCell ref="AM27:AQ27"/>
    <mergeCell ref="G25:L25"/>
    <mergeCell ref="G18:L18"/>
    <mergeCell ref="G19:L19"/>
    <mergeCell ref="G20:L20"/>
    <mergeCell ref="G11:L11"/>
    <mergeCell ref="G12:L12"/>
    <mergeCell ref="G13:L13"/>
    <mergeCell ref="G14:L14"/>
    <mergeCell ref="G15:L15"/>
    <mergeCell ref="M15:S15"/>
    <mergeCell ref="M16:S16"/>
    <mergeCell ref="M17:S17"/>
    <mergeCell ref="M18:S18"/>
    <mergeCell ref="M19:S19"/>
    <mergeCell ref="M14:S14"/>
    <mergeCell ref="G16:L16"/>
    <mergeCell ref="G17:L17"/>
    <mergeCell ref="C5:F5"/>
    <mergeCell ref="C6:F6"/>
    <mergeCell ref="C7:F7"/>
    <mergeCell ref="C8:F8"/>
    <mergeCell ref="C9:F9"/>
    <mergeCell ref="C20:F20"/>
    <mergeCell ref="C11:F11"/>
    <mergeCell ref="C12:F12"/>
    <mergeCell ref="C13:F13"/>
    <mergeCell ref="C14:F14"/>
    <mergeCell ref="C15:F15"/>
    <mergeCell ref="C10:F10"/>
    <mergeCell ref="G5:L5"/>
    <mergeCell ref="G6:L6"/>
    <mergeCell ref="G7:L7"/>
    <mergeCell ref="G8:L8"/>
    <mergeCell ref="G9:L9"/>
    <mergeCell ref="M5:S5"/>
    <mergeCell ref="AL10:AP10"/>
    <mergeCell ref="AG11:AP13"/>
    <mergeCell ref="AG10:AK10"/>
    <mergeCell ref="M11:S11"/>
    <mergeCell ref="M12:S12"/>
    <mergeCell ref="M13:S13"/>
    <mergeCell ref="AJ6:AO6"/>
    <mergeCell ref="Y6:AI6"/>
    <mergeCell ref="G10:L10"/>
    <mergeCell ref="M6:S6"/>
    <mergeCell ref="M7:S7"/>
    <mergeCell ref="M8:S8"/>
    <mergeCell ref="M9:S9"/>
    <mergeCell ref="M10:S10"/>
    <mergeCell ref="C25:F25"/>
    <mergeCell ref="C16:F16"/>
    <mergeCell ref="C17:F17"/>
    <mergeCell ref="C18:F18"/>
    <mergeCell ref="C19:F19"/>
    <mergeCell ref="C21:F21"/>
    <mergeCell ref="C22:F22"/>
    <mergeCell ref="C23:F23"/>
    <mergeCell ref="C24:F24"/>
  </mergeCells>
  <phoneticPr fontId="1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oleObjects>
    <oleObject progId="Equation.3" shapeId="6146" r:id="rId4"/>
    <oleObject progId="Equation.3" shapeId="6147" r:id="rId5"/>
    <oleObject progId="Equation.3" shapeId="6149" r:id="rId6"/>
    <oleObject progId="Equation.3" shapeId="6150" r:id="rId7"/>
  </oleObjec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 enableFormatConditionsCalculation="0"/>
  <dimension ref="A1:BG56"/>
  <sheetViews>
    <sheetView workbookViewId="0">
      <selection activeCell="BB23" sqref="BB23"/>
    </sheetView>
  </sheetViews>
  <sheetFormatPr defaultColWidth="9.140625" defaultRowHeight="12.75"/>
  <cols>
    <col min="1" max="1" width="2.85546875" customWidth="1"/>
    <col min="2" max="52" width="2.140625" customWidth="1"/>
  </cols>
  <sheetData>
    <row r="1" spans="1:44" ht="4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4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</row>
    <row r="3" spans="1:44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spans="1:4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>
      <c r="A5" s="5"/>
      <c r="B5" s="5"/>
      <c r="C5" s="103">
        <f>AM27</f>
        <v>0</v>
      </c>
      <c r="D5" s="103"/>
      <c r="E5" s="103"/>
      <c r="F5" s="103"/>
      <c r="G5" s="103">
        <f t="shared" ref="G5:G25" si="0">EXP(-$AK$6*C5)</f>
        <v>1</v>
      </c>
      <c r="H5" s="103"/>
      <c r="I5" s="103"/>
      <c r="J5" s="103"/>
      <c r="K5" s="103"/>
      <c r="L5" s="103"/>
      <c r="M5" s="103">
        <f t="shared" ref="M5:M25" si="1">(G5-MIN($G$5:$G$25))/(MAX($G$5:$G$25)-MIN($G$5:$G$25))</f>
        <v>1</v>
      </c>
      <c r="N5" s="103"/>
      <c r="O5" s="103"/>
      <c r="P5" s="103"/>
      <c r="Q5" s="103"/>
      <c r="R5" s="103"/>
      <c r="S5" s="103"/>
      <c r="T5" s="5"/>
      <c r="U5" s="5"/>
      <c r="V5" s="5"/>
      <c r="W5" s="10"/>
      <c r="X5" s="10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>
      <c r="A6" s="5"/>
      <c r="B6" s="5"/>
      <c r="C6" s="103">
        <f t="shared" ref="C6:C24" si="2">C5+$AI$10</f>
        <v>5</v>
      </c>
      <c r="D6" s="103"/>
      <c r="E6" s="103"/>
      <c r="F6" s="103"/>
      <c r="G6" s="103">
        <f t="shared" si="0"/>
        <v>0.84942609108766098</v>
      </c>
      <c r="H6" s="103"/>
      <c r="I6" s="103"/>
      <c r="J6" s="103"/>
      <c r="K6" s="103"/>
      <c r="L6" s="103"/>
      <c r="M6" s="103">
        <f t="shared" si="1"/>
        <v>0.84343929161326503</v>
      </c>
      <c r="N6" s="103"/>
      <c r="O6" s="103"/>
      <c r="P6" s="103"/>
      <c r="Q6" s="103"/>
      <c r="R6" s="103"/>
      <c r="S6" s="103"/>
      <c r="T6" s="5"/>
      <c r="U6" s="5"/>
      <c r="V6" s="5"/>
      <c r="W6" s="10"/>
      <c r="X6" s="10"/>
      <c r="Y6" s="5"/>
      <c r="Z6" s="5"/>
      <c r="AA6" s="60" t="s">
        <v>2</v>
      </c>
      <c r="AB6" s="60"/>
      <c r="AC6" s="60"/>
      <c r="AD6" s="60"/>
      <c r="AE6" s="60"/>
      <c r="AF6" s="60"/>
      <c r="AG6" s="60"/>
      <c r="AH6" s="60"/>
      <c r="AI6" s="60"/>
      <c r="AJ6" s="60"/>
      <c r="AK6" s="60">
        <f>(-LOG(LOG(1.1+0.88*(10-AM29))))/((LOG(AM28))^2)</f>
        <v>3.2638868898966639E-2</v>
      </c>
      <c r="AL6" s="60"/>
      <c r="AM6" s="60"/>
      <c r="AN6" s="60"/>
      <c r="AO6" s="60"/>
      <c r="AP6" s="60"/>
      <c r="AQ6" s="5"/>
      <c r="AR6" s="5"/>
    </row>
    <row r="7" spans="1:44">
      <c r="A7" s="5"/>
      <c r="B7" s="5"/>
      <c r="C7" s="103">
        <f t="shared" si="2"/>
        <v>10</v>
      </c>
      <c r="D7" s="103"/>
      <c r="E7" s="103"/>
      <c r="F7" s="103"/>
      <c r="G7" s="103">
        <f t="shared" si="0"/>
        <v>0.72152468422046345</v>
      </c>
      <c r="H7" s="103"/>
      <c r="I7" s="103"/>
      <c r="J7" s="103"/>
      <c r="K7" s="103"/>
      <c r="L7" s="103"/>
      <c r="M7" s="103">
        <f t="shared" si="1"/>
        <v>0.71045254107040579</v>
      </c>
      <c r="N7" s="103"/>
      <c r="O7" s="103"/>
      <c r="P7" s="103"/>
      <c r="Q7" s="103"/>
      <c r="R7" s="103"/>
      <c r="S7" s="103"/>
      <c r="T7" s="5"/>
      <c r="U7" s="5"/>
      <c r="V7" s="5"/>
      <c r="W7" s="10"/>
      <c r="X7" s="10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</row>
    <row r="8" spans="1:44">
      <c r="A8" s="5"/>
      <c r="B8" s="5"/>
      <c r="C8" s="103">
        <f t="shared" si="2"/>
        <v>15</v>
      </c>
      <c r="D8" s="103"/>
      <c r="E8" s="103"/>
      <c r="F8" s="103"/>
      <c r="G8" s="103">
        <f t="shared" si="0"/>
        <v>0.61288189214064726</v>
      </c>
      <c r="H8" s="103"/>
      <c r="I8" s="103"/>
      <c r="J8" s="103"/>
      <c r="K8" s="103"/>
      <c r="L8" s="103"/>
      <c r="M8" s="103">
        <f t="shared" si="1"/>
        <v>0.59749012539033486</v>
      </c>
      <c r="N8" s="103"/>
      <c r="O8" s="103"/>
      <c r="P8" s="103"/>
      <c r="Q8" s="103"/>
      <c r="R8" s="103"/>
      <c r="S8" s="103"/>
      <c r="T8" s="5"/>
      <c r="U8" s="5"/>
      <c r="V8" s="5"/>
      <c r="W8" s="10"/>
      <c r="X8" s="10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</row>
    <row r="9" spans="1:44">
      <c r="A9" s="5"/>
      <c r="B9" s="5"/>
      <c r="C9" s="103">
        <f t="shared" si="2"/>
        <v>20</v>
      </c>
      <c r="D9" s="103"/>
      <c r="E9" s="103"/>
      <c r="F9" s="103"/>
      <c r="G9" s="103">
        <f t="shared" si="0"/>
        <v>0.52059786993943946</v>
      </c>
      <c r="H9" s="103"/>
      <c r="I9" s="103"/>
      <c r="J9" s="103"/>
      <c r="K9" s="103"/>
      <c r="L9" s="103"/>
      <c r="M9" s="103">
        <f t="shared" si="1"/>
        <v>0.50153690219939262</v>
      </c>
      <c r="N9" s="103"/>
      <c r="O9" s="103"/>
      <c r="P9" s="103"/>
      <c r="Q9" s="103"/>
      <c r="R9" s="103"/>
      <c r="S9" s="103"/>
      <c r="T9" s="5"/>
      <c r="U9" s="5"/>
      <c r="V9" s="5"/>
      <c r="W9" s="10"/>
      <c r="X9" s="10"/>
      <c r="Y9" s="5"/>
      <c r="Z9" s="5"/>
      <c r="AA9" s="23"/>
      <c r="AB9" s="23"/>
      <c r="AC9" s="23"/>
      <c r="AD9" s="23"/>
      <c r="AE9" s="23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</row>
    <row r="10" spans="1:44">
      <c r="A10" s="5"/>
      <c r="B10" s="5"/>
      <c r="C10" s="103">
        <f t="shared" si="2"/>
        <v>25</v>
      </c>
      <c r="D10" s="103"/>
      <c r="E10" s="103"/>
      <c r="F10" s="103"/>
      <c r="G10" s="103">
        <f t="shared" si="0"/>
        <v>0.44220941369122063</v>
      </c>
      <c r="H10" s="103"/>
      <c r="I10" s="103"/>
      <c r="J10" s="103"/>
      <c r="K10" s="103"/>
      <c r="L10" s="103"/>
      <c r="M10" s="103">
        <f t="shared" si="1"/>
        <v>0.42003173089704876</v>
      </c>
      <c r="N10" s="103"/>
      <c r="O10" s="103"/>
      <c r="P10" s="103"/>
      <c r="Q10" s="103"/>
      <c r="R10" s="103"/>
      <c r="S10" s="103"/>
      <c r="T10" s="5"/>
      <c r="U10" s="5"/>
      <c r="V10" s="5"/>
      <c r="W10" s="10"/>
      <c r="X10" s="10"/>
      <c r="Y10" s="5"/>
      <c r="Z10" s="36"/>
      <c r="AA10" s="21"/>
      <c r="AB10" s="21"/>
      <c r="AC10" s="60" t="s">
        <v>0</v>
      </c>
      <c r="AD10" s="60"/>
      <c r="AE10" s="60"/>
      <c r="AF10" s="60"/>
      <c r="AG10" s="60"/>
      <c r="AH10" s="60"/>
      <c r="AI10" s="54">
        <f>(AM28-AM27)/20</f>
        <v>5</v>
      </c>
      <c r="AJ10" s="54"/>
      <c r="AK10" s="54"/>
      <c r="AL10" s="54"/>
      <c r="AM10" s="5"/>
      <c r="AN10" s="5"/>
      <c r="AO10" s="5"/>
      <c r="AP10" s="5"/>
      <c r="AQ10" s="5"/>
      <c r="AR10" s="5"/>
    </row>
    <row r="11" spans="1:44" ht="12.75" customHeight="1">
      <c r="A11" s="5"/>
      <c r="B11" s="5"/>
      <c r="C11" s="103">
        <f t="shared" si="2"/>
        <v>30</v>
      </c>
      <c r="D11" s="103"/>
      <c r="E11" s="103"/>
      <c r="F11" s="103"/>
      <c r="G11" s="103">
        <f t="shared" si="0"/>
        <v>0.37562421371389992</v>
      </c>
      <c r="H11" s="103"/>
      <c r="I11" s="103"/>
      <c r="J11" s="103"/>
      <c r="K11" s="103"/>
      <c r="L11" s="103"/>
      <c r="M11" s="103">
        <f t="shared" si="1"/>
        <v>0.35079911183426848</v>
      </c>
      <c r="N11" s="103"/>
      <c r="O11" s="103"/>
      <c r="P11" s="103"/>
      <c r="Q11" s="103"/>
      <c r="R11" s="103"/>
      <c r="S11" s="103"/>
      <c r="T11" s="5"/>
      <c r="U11" s="5"/>
      <c r="V11" s="5"/>
      <c r="W11" s="10"/>
      <c r="X11" s="10"/>
      <c r="Y11" s="5"/>
      <c r="Z11" s="5"/>
      <c r="AA11" s="23"/>
      <c r="AB11" s="23"/>
      <c r="AC11" s="79" t="s">
        <v>16</v>
      </c>
      <c r="AD11" s="79"/>
      <c r="AE11" s="79"/>
      <c r="AF11" s="79"/>
      <c r="AG11" s="79"/>
      <c r="AH11" s="79"/>
      <c r="AI11" s="79"/>
      <c r="AJ11" s="79"/>
      <c r="AK11" s="79"/>
      <c r="AL11" s="79"/>
      <c r="AM11" s="5"/>
      <c r="AN11" s="5"/>
      <c r="AO11" s="5"/>
      <c r="AP11" s="5"/>
      <c r="AQ11" s="5"/>
      <c r="AR11" s="5"/>
    </row>
    <row r="12" spans="1:44">
      <c r="A12" s="5"/>
      <c r="B12" s="5"/>
      <c r="C12" s="103">
        <f t="shared" si="2"/>
        <v>35</v>
      </c>
      <c r="D12" s="103"/>
      <c r="E12" s="103"/>
      <c r="F12" s="103"/>
      <c r="G12" s="103">
        <f t="shared" si="0"/>
        <v>0.3190650075728742</v>
      </c>
      <c r="H12" s="103"/>
      <c r="I12" s="103"/>
      <c r="J12" s="103"/>
      <c r="K12" s="103"/>
      <c r="L12" s="103"/>
      <c r="M12" s="103">
        <f t="shared" si="1"/>
        <v>0.29199111884801005</v>
      </c>
      <c r="N12" s="103"/>
      <c r="O12" s="103"/>
      <c r="P12" s="103"/>
      <c r="Q12" s="103"/>
      <c r="R12" s="103"/>
      <c r="S12" s="103"/>
      <c r="T12" s="5"/>
      <c r="U12" s="5"/>
      <c r="V12" s="5"/>
      <c r="W12" s="10"/>
      <c r="X12" s="10"/>
      <c r="Y12" s="5"/>
      <c r="Z12" s="5"/>
      <c r="AA12" s="5"/>
      <c r="AB12" s="5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5"/>
      <c r="AN12" s="5"/>
      <c r="AO12" s="5"/>
      <c r="AP12" s="5"/>
      <c r="AQ12" s="5"/>
      <c r="AR12" s="5"/>
    </row>
    <row r="13" spans="1:44">
      <c r="A13" s="5"/>
      <c r="B13" s="5"/>
      <c r="C13" s="103">
        <f t="shared" si="2"/>
        <v>40</v>
      </c>
      <c r="D13" s="103"/>
      <c r="E13" s="103"/>
      <c r="F13" s="103"/>
      <c r="G13" s="103">
        <f t="shared" si="0"/>
        <v>0.27102214218548154</v>
      </c>
      <c r="H13" s="103"/>
      <c r="I13" s="103"/>
      <c r="J13" s="103"/>
      <c r="K13" s="103"/>
      <c r="L13" s="103"/>
      <c r="M13" s="103">
        <f t="shared" si="1"/>
        <v>0.24203807524098198</v>
      </c>
      <c r="N13" s="103"/>
      <c r="O13" s="103"/>
      <c r="P13" s="103"/>
      <c r="Q13" s="103"/>
      <c r="R13" s="103"/>
      <c r="S13" s="103"/>
      <c r="T13" s="5"/>
      <c r="U13" s="5"/>
      <c r="V13" s="5"/>
      <c r="W13" s="10"/>
      <c r="X13" s="10"/>
      <c r="Y13" s="5"/>
      <c r="Z13" s="5"/>
      <c r="AA13" s="5"/>
      <c r="AB13" s="5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5"/>
      <c r="AN13" s="5"/>
      <c r="AO13" s="5"/>
      <c r="AP13" s="5"/>
      <c r="AQ13" s="5"/>
      <c r="AR13" s="5"/>
    </row>
    <row r="14" spans="1:44">
      <c r="A14" s="5"/>
      <c r="B14" s="5"/>
      <c r="C14" s="103">
        <f t="shared" si="2"/>
        <v>45</v>
      </c>
      <c r="D14" s="103"/>
      <c r="E14" s="103"/>
      <c r="F14" s="103"/>
      <c r="G14" s="103">
        <f t="shared" si="0"/>
        <v>0.23021327883481785</v>
      </c>
      <c r="H14" s="103"/>
      <c r="I14" s="103"/>
      <c r="J14" s="103"/>
      <c r="K14" s="103"/>
      <c r="L14" s="103"/>
      <c r="M14" s="103">
        <f t="shared" si="1"/>
        <v>0.19960665667193259</v>
      </c>
      <c r="N14" s="103"/>
      <c r="O14" s="103"/>
      <c r="P14" s="103"/>
      <c r="Q14" s="103"/>
      <c r="R14" s="103"/>
      <c r="S14" s="103"/>
      <c r="T14" s="5"/>
      <c r="U14" s="5"/>
      <c r="V14" s="5"/>
      <c r="W14" s="10"/>
      <c r="X14" s="10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</row>
    <row r="15" spans="1:44">
      <c r="A15" s="5"/>
      <c r="B15" s="5"/>
      <c r="C15" s="103">
        <f t="shared" si="2"/>
        <v>50</v>
      </c>
      <c r="D15" s="103"/>
      <c r="E15" s="103"/>
      <c r="F15" s="103"/>
      <c r="G15" s="103">
        <f t="shared" si="0"/>
        <v>0.19554916555713311</v>
      </c>
      <c r="H15" s="103"/>
      <c r="I15" s="103"/>
      <c r="J15" s="103"/>
      <c r="K15" s="103"/>
      <c r="L15" s="103"/>
      <c r="M15" s="103">
        <f t="shared" si="1"/>
        <v>0.16356430265752059</v>
      </c>
      <c r="N15" s="103"/>
      <c r="O15" s="103"/>
      <c r="P15" s="103"/>
      <c r="Q15" s="103"/>
      <c r="R15" s="103"/>
      <c r="S15" s="103"/>
      <c r="T15" s="5"/>
      <c r="U15" s="5"/>
      <c r="V15" s="5"/>
      <c r="W15" s="10"/>
      <c r="X15" s="10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</row>
    <row r="16" spans="1:44">
      <c r="A16" s="5"/>
      <c r="B16" s="5"/>
      <c r="C16" s="103">
        <f t="shared" si="2"/>
        <v>55</v>
      </c>
      <c r="D16" s="103"/>
      <c r="E16" s="103"/>
      <c r="F16" s="103"/>
      <c r="G16" s="103">
        <f t="shared" si="0"/>
        <v>0.16610456331464946</v>
      </c>
      <c r="H16" s="103"/>
      <c r="I16" s="103"/>
      <c r="J16" s="103"/>
      <c r="K16" s="103"/>
      <c r="L16" s="103"/>
      <c r="M16" s="103">
        <f t="shared" si="1"/>
        <v>0.13294898677346095</v>
      </c>
      <c r="N16" s="103"/>
      <c r="O16" s="103"/>
      <c r="P16" s="103"/>
      <c r="Q16" s="103"/>
      <c r="R16" s="103"/>
      <c r="S16" s="103"/>
      <c r="T16" s="5"/>
      <c r="U16" s="5"/>
      <c r="V16" s="5"/>
      <c r="W16" s="10"/>
      <c r="X16" s="10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</row>
    <row r="17" spans="1:59" ht="12.75" customHeight="1">
      <c r="A17" s="5"/>
      <c r="B17" s="5"/>
      <c r="C17" s="103">
        <f t="shared" si="2"/>
        <v>60</v>
      </c>
      <c r="D17" s="103"/>
      <c r="E17" s="103"/>
      <c r="F17" s="103"/>
      <c r="G17" s="103">
        <f t="shared" si="0"/>
        <v>0.14109354992818557</v>
      </c>
      <c r="H17" s="103"/>
      <c r="I17" s="103"/>
      <c r="J17" s="103"/>
      <c r="K17" s="103"/>
      <c r="L17" s="103"/>
      <c r="M17" s="103">
        <f t="shared" si="1"/>
        <v>0.10694353867465015</v>
      </c>
      <c r="N17" s="103"/>
      <c r="O17" s="103"/>
      <c r="P17" s="103"/>
      <c r="Q17" s="103"/>
      <c r="R17" s="103"/>
      <c r="S17" s="103"/>
      <c r="T17" s="5"/>
      <c r="U17" s="5"/>
      <c r="V17" s="5"/>
      <c r="W17" s="10"/>
      <c r="X17" s="10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</row>
    <row r="18" spans="1:59">
      <c r="A18" s="5"/>
      <c r="B18" s="5"/>
      <c r="C18" s="103">
        <f t="shared" si="2"/>
        <v>65</v>
      </c>
      <c r="D18" s="103"/>
      <c r="E18" s="103"/>
      <c r="F18" s="103"/>
      <c r="G18" s="103">
        <f t="shared" si="0"/>
        <v>0.11984854259318044</v>
      </c>
      <c r="H18" s="103"/>
      <c r="I18" s="103"/>
      <c r="J18" s="103"/>
      <c r="K18" s="103"/>
      <c r="L18" s="103"/>
      <c r="M18" s="103">
        <f t="shared" si="1"/>
        <v>8.4853832549094288E-2</v>
      </c>
      <c r="N18" s="103"/>
      <c r="O18" s="103"/>
      <c r="P18" s="103"/>
      <c r="Q18" s="103"/>
      <c r="R18" s="103"/>
      <c r="S18" s="103"/>
      <c r="T18" s="5"/>
      <c r="U18" s="5"/>
      <c r="V18" s="5"/>
      <c r="W18" s="10"/>
      <c r="X18" s="10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</row>
    <row r="19" spans="1:59" ht="12.75" customHeight="1">
      <c r="A19" s="5"/>
      <c r="B19" s="5"/>
      <c r="C19" s="103">
        <f t="shared" si="2"/>
        <v>70</v>
      </c>
      <c r="D19" s="103"/>
      <c r="E19" s="103"/>
      <c r="F19" s="103"/>
      <c r="G19" s="103">
        <f t="shared" si="0"/>
        <v>0.10180247905747829</v>
      </c>
      <c r="H19" s="103"/>
      <c r="I19" s="103"/>
      <c r="J19" s="103"/>
      <c r="K19" s="103"/>
      <c r="L19" s="103"/>
      <c r="M19" s="103">
        <f t="shared" si="1"/>
        <v>6.6090259821588171E-2</v>
      </c>
      <c r="N19" s="103"/>
      <c r="O19" s="103"/>
      <c r="P19" s="103"/>
      <c r="Q19" s="103"/>
      <c r="R19" s="103"/>
      <c r="S19" s="103"/>
      <c r="T19" s="5"/>
      <c r="U19" s="5"/>
      <c r="V19" s="5"/>
      <c r="W19" s="10"/>
      <c r="X19" s="10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</row>
    <row r="20" spans="1:59">
      <c r="A20" s="5"/>
      <c r="B20" s="5"/>
      <c r="C20" s="103">
        <f t="shared" si="2"/>
        <v>75</v>
      </c>
      <c r="D20" s="103"/>
      <c r="E20" s="103"/>
      <c r="F20" s="103"/>
      <c r="G20" s="103">
        <f t="shared" si="0"/>
        <v>8.6473681848827283E-2</v>
      </c>
      <c r="H20" s="103"/>
      <c r="I20" s="103"/>
      <c r="J20" s="103"/>
      <c r="K20" s="103"/>
      <c r="L20" s="103"/>
      <c r="M20" s="103">
        <f t="shared" si="1"/>
        <v>5.0151991584823662E-2</v>
      </c>
      <c r="N20" s="103"/>
      <c r="O20" s="103"/>
      <c r="P20" s="103"/>
      <c r="Q20" s="103"/>
      <c r="R20" s="103"/>
      <c r="S20" s="103"/>
      <c r="T20" s="5"/>
      <c r="U20" s="5"/>
      <c r="V20" s="5"/>
      <c r="W20" s="10"/>
      <c r="X20" s="10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</row>
    <row r="21" spans="1:59" ht="12.75" customHeight="1">
      <c r="A21" s="5"/>
      <c r="B21" s="5"/>
      <c r="C21" s="103">
        <f t="shared" si="2"/>
        <v>80</v>
      </c>
      <c r="D21" s="103"/>
      <c r="E21" s="103"/>
      <c r="F21" s="103"/>
      <c r="G21" s="103">
        <f t="shared" si="0"/>
        <v>7.3453001554807371E-2</v>
      </c>
      <c r="H21" s="103"/>
      <c r="I21" s="103"/>
      <c r="J21" s="103"/>
      <c r="K21" s="103"/>
      <c r="L21" s="103"/>
      <c r="M21" s="103">
        <f t="shared" si="1"/>
        <v>3.661361069776211E-2</v>
      </c>
      <c r="N21" s="103"/>
      <c r="O21" s="103"/>
      <c r="P21" s="103"/>
      <c r="Q21" s="103"/>
      <c r="R21" s="103"/>
      <c r="S21" s="103"/>
      <c r="T21" s="5"/>
      <c r="U21" s="5"/>
      <c r="V21" s="5"/>
      <c r="W21" s="10"/>
      <c r="X21" s="10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</row>
    <row r="22" spans="1:59">
      <c r="A22" s="5"/>
      <c r="B22" s="5"/>
      <c r="C22" s="103">
        <f t="shared" si="2"/>
        <v>85</v>
      </c>
      <c r="D22" s="103"/>
      <c r="E22" s="103"/>
      <c r="F22" s="103"/>
      <c r="G22" s="103">
        <f t="shared" si="0"/>
        <v>6.23928959893559E-2</v>
      </c>
      <c r="H22" s="103"/>
      <c r="I22" s="103"/>
      <c r="J22" s="103"/>
      <c r="K22" s="103"/>
      <c r="L22" s="103"/>
      <c r="M22" s="103">
        <f t="shared" si="1"/>
        <v>2.5113756741209518E-2</v>
      </c>
      <c r="N22" s="103"/>
      <c r="O22" s="103"/>
      <c r="P22" s="103"/>
      <c r="Q22" s="103"/>
      <c r="R22" s="103"/>
      <c r="S22" s="103"/>
      <c r="T22" s="5"/>
      <c r="U22" s="5"/>
      <c r="V22" s="5"/>
      <c r="W22" s="10"/>
      <c r="X22" s="10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2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</row>
    <row r="23" spans="1:59">
      <c r="A23" s="5"/>
      <c r="B23" s="5"/>
      <c r="C23" s="103">
        <f t="shared" si="2"/>
        <v>90</v>
      </c>
      <c r="D23" s="103"/>
      <c r="E23" s="103"/>
      <c r="F23" s="103"/>
      <c r="G23" s="103">
        <f t="shared" si="0"/>
        <v>5.2998153751877594E-2</v>
      </c>
      <c r="H23" s="103"/>
      <c r="I23" s="103"/>
      <c r="J23" s="103"/>
      <c r="K23" s="103"/>
      <c r="L23" s="103"/>
      <c r="M23" s="103">
        <f t="shared" si="1"/>
        <v>1.5345480746816097E-2</v>
      </c>
      <c r="N23" s="103"/>
      <c r="O23" s="103"/>
      <c r="P23" s="103"/>
      <c r="Q23" s="103"/>
      <c r="R23" s="103"/>
      <c r="S23" s="103"/>
      <c r="T23" s="5"/>
      <c r="U23" s="5"/>
      <c r="V23" s="5"/>
      <c r="W23" s="10"/>
      <c r="X23" s="10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</row>
    <row r="24" spans="1:59">
      <c r="A24" s="5"/>
      <c r="B24" s="5"/>
      <c r="C24" s="103">
        <f t="shared" si="2"/>
        <v>95</v>
      </c>
      <c r="D24" s="103"/>
      <c r="E24" s="103"/>
      <c r="F24" s="103"/>
      <c r="G24" s="103">
        <f t="shared" si="0"/>
        <v>4.5018014576320237E-2</v>
      </c>
      <c r="H24" s="103"/>
      <c r="I24" s="103"/>
      <c r="J24" s="103"/>
      <c r="K24" s="103"/>
      <c r="L24" s="103"/>
      <c r="M24" s="103">
        <f t="shared" si="1"/>
        <v>7.0480522522330452E-3</v>
      </c>
      <c r="N24" s="103"/>
      <c r="O24" s="103"/>
      <c r="P24" s="103"/>
      <c r="Q24" s="103"/>
      <c r="R24" s="103"/>
      <c r="S24" s="103"/>
      <c r="T24" s="5"/>
      <c r="U24" s="5"/>
      <c r="V24" s="5"/>
      <c r="W24" s="10"/>
      <c r="X24" s="10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</row>
    <row r="25" spans="1:59">
      <c r="A25" s="5"/>
      <c r="B25" s="5"/>
      <c r="C25" s="103">
        <f>AM28</f>
        <v>100</v>
      </c>
      <c r="D25" s="103"/>
      <c r="E25" s="103"/>
      <c r="F25" s="103"/>
      <c r="G25" s="103">
        <f t="shared" si="0"/>
        <v>3.8239476150091052E-2</v>
      </c>
      <c r="H25" s="103"/>
      <c r="I25" s="103"/>
      <c r="J25" s="103"/>
      <c r="K25" s="103"/>
      <c r="L25" s="103"/>
      <c r="M25" s="103">
        <f t="shared" si="1"/>
        <v>0</v>
      </c>
      <c r="N25" s="103"/>
      <c r="O25" s="103"/>
      <c r="P25" s="103"/>
      <c r="Q25" s="103"/>
      <c r="R25" s="103"/>
      <c r="S25" s="103"/>
      <c r="T25" s="5"/>
      <c r="U25" s="5"/>
      <c r="V25" s="5"/>
      <c r="W25" s="10"/>
      <c r="X25" s="10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2"/>
      <c r="AQ25" s="12"/>
      <c r="AR25" s="5"/>
      <c r="AT25" s="12"/>
      <c r="AV25" s="12"/>
      <c r="AW25" s="12"/>
      <c r="AX25" s="12"/>
      <c r="BB25" s="28"/>
      <c r="BC25" s="28"/>
    </row>
    <row r="26" spans="1:59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</row>
    <row r="27" spans="1:59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23"/>
      <c r="O27" s="29"/>
      <c r="P27" s="29"/>
      <c r="Q27" s="29"/>
      <c r="R27" s="29"/>
      <c r="S27" s="23"/>
      <c r="T27" s="23"/>
      <c r="U27" s="5"/>
      <c r="V27" s="5"/>
      <c r="W27" s="5"/>
      <c r="X27" s="5"/>
      <c r="Y27" s="5"/>
      <c r="Z27" s="29"/>
      <c r="AA27" s="78" t="s">
        <v>13</v>
      </c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54">
        <v>0</v>
      </c>
      <c r="AN27" s="54"/>
      <c r="AO27" s="54"/>
      <c r="AP27" s="54"/>
      <c r="AQ27" s="54"/>
      <c r="AR27" s="5"/>
    </row>
    <row r="28" spans="1:59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23"/>
      <c r="O28" s="29"/>
      <c r="P28" s="29"/>
      <c r="Q28" s="29"/>
      <c r="R28" s="29"/>
      <c r="S28" s="23"/>
      <c r="T28" s="23"/>
      <c r="U28" s="5"/>
      <c r="V28" s="5"/>
      <c r="W28" s="5"/>
      <c r="X28" s="5"/>
      <c r="Y28" s="5"/>
      <c r="Z28" s="29"/>
      <c r="AA28" s="78" t="s">
        <v>14</v>
      </c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54">
        <v>100</v>
      </c>
      <c r="AN28" s="54"/>
      <c r="AO28" s="54"/>
      <c r="AP28" s="54"/>
      <c r="AQ28" s="54"/>
      <c r="AR28" s="5"/>
    </row>
    <row r="29" spans="1:59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23"/>
      <c r="O29" s="29"/>
      <c r="P29" s="29"/>
      <c r="Q29" s="29"/>
      <c r="R29" s="29"/>
      <c r="S29" s="23"/>
      <c r="T29" s="23"/>
      <c r="U29" s="5"/>
      <c r="V29" s="5"/>
      <c r="W29" s="5"/>
      <c r="X29" s="5"/>
      <c r="Y29" s="5"/>
      <c r="Z29" s="29"/>
      <c r="AA29" s="78" t="s">
        <v>1</v>
      </c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54">
        <v>5</v>
      </c>
      <c r="AN29" s="54"/>
      <c r="AO29" s="54"/>
      <c r="AP29" s="54"/>
      <c r="AQ29" s="54"/>
      <c r="AR29" s="5"/>
    </row>
    <row r="30" spans="1:59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23"/>
      <c r="O30" s="29"/>
      <c r="P30" s="29"/>
      <c r="Q30" s="29"/>
      <c r="R30" s="29"/>
      <c r="S30" s="23"/>
      <c r="T30" s="23"/>
      <c r="U30" s="5"/>
      <c r="V30" s="5"/>
      <c r="W30" s="5"/>
      <c r="X30" s="5"/>
      <c r="Y30" s="5"/>
      <c r="Z30" s="29"/>
      <c r="AA30" s="78" t="s">
        <v>9</v>
      </c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54" t="s">
        <v>21</v>
      </c>
      <c r="AN30" s="54"/>
      <c r="AO30" s="54"/>
      <c r="AP30" s="54"/>
      <c r="AQ30" s="54"/>
      <c r="AR30" s="5"/>
    </row>
    <row r="31" spans="1:59" ht="6" customHeight="1">
      <c r="A31" s="5"/>
      <c r="B31" s="8"/>
      <c r="C31" s="8"/>
      <c r="D31" s="8"/>
      <c r="E31" s="8"/>
      <c r="F31" s="8"/>
      <c r="G31" s="8"/>
      <c r="H31" s="8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</row>
    <row r="32" spans="1:59" ht="12.75" customHeight="1">
      <c r="A32" s="5"/>
      <c r="B32" s="8"/>
      <c r="C32" s="8"/>
      <c r="D32" s="5"/>
      <c r="E32" s="5"/>
      <c r="F32" s="5"/>
      <c r="G32" s="5"/>
      <c r="H32" s="5"/>
      <c r="I32" s="17" t="s">
        <v>19</v>
      </c>
      <c r="J32" s="80">
        <f>VALUE(AK6)</f>
        <v>3.2638868898966639E-2</v>
      </c>
      <c r="K32" s="80"/>
      <c r="L32" s="80"/>
      <c r="M32" s="80"/>
      <c r="N32" s="80"/>
      <c r="O32" s="80"/>
      <c r="P32" s="80"/>
      <c r="Q32" s="80"/>
      <c r="R32" s="5"/>
      <c r="S32" s="5"/>
      <c r="T32" s="5"/>
      <c r="U32" s="114" t="s">
        <v>23</v>
      </c>
      <c r="V32" s="114"/>
      <c r="W32" s="114"/>
      <c r="X32" s="114"/>
      <c r="Y32" s="114"/>
      <c r="Z32" s="114"/>
      <c r="AA32" s="114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</row>
    <row r="33" spans="1:46">
      <c r="A33" s="5"/>
      <c r="B33" s="8"/>
      <c r="C33" s="8"/>
      <c r="D33" s="5"/>
      <c r="E33" s="5"/>
      <c r="F33" s="5"/>
      <c r="G33" s="5"/>
      <c r="H33" s="5"/>
      <c r="I33" s="17" t="s">
        <v>19</v>
      </c>
      <c r="J33" s="80" t="s">
        <v>20</v>
      </c>
      <c r="K33" s="80"/>
      <c r="L33" s="80"/>
      <c r="M33" s="80"/>
      <c r="N33" s="80"/>
      <c r="O33" s="80"/>
      <c r="P33" s="80"/>
      <c r="Q33" s="80"/>
      <c r="R33" s="5"/>
      <c r="S33" s="5"/>
      <c r="T33" s="5"/>
      <c r="U33" s="114"/>
      <c r="V33" s="114"/>
      <c r="W33" s="114"/>
      <c r="X33" s="114"/>
      <c r="Y33" s="114"/>
      <c r="Z33" s="114"/>
      <c r="AA33" s="114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</row>
    <row r="34" spans="1:46">
      <c r="A34" s="5"/>
      <c r="B34" s="8"/>
      <c r="C34" s="19"/>
      <c r="D34" s="5"/>
      <c r="E34" s="5"/>
      <c r="F34" s="5"/>
      <c r="G34" s="5"/>
      <c r="H34" s="5"/>
      <c r="I34" s="18" t="s">
        <v>19</v>
      </c>
      <c r="J34" s="82">
        <f>MIN(G5:G25)</f>
        <v>3.8239476150091052E-2</v>
      </c>
      <c r="K34" s="82"/>
      <c r="L34" s="82"/>
      <c r="M34" s="82"/>
      <c r="N34" s="82"/>
      <c r="O34" s="82"/>
      <c r="P34" s="82"/>
      <c r="Q34" s="82"/>
      <c r="R34" s="5"/>
      <c r="S34" s="5"/>
      <c r="T34" s="5"/>
      <c r="U34" s="114"/>
      <c r="V34" s="114"/>
      <c r="W34" s="114"/>
      <c r="X34" s="114"/>
      <c r="Y34" s="114"/>
      <c r="Z34" s="114"/>
      <c r="AA34" s="114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</row>
    <row r="35" spans="1:46">
      <c r="A35" s="5"/>
      <c r="B35" s="8"/>
      <c r="C35" s="19"/>
      <c r="D35" s="5"/>
      <c r="E35" s="5"/>
      <c r="F35" s="5"/>
      <c r="G35" s="5"/>
      <c r="H35" s="5"/>
      <c r="I35" s="18" t="s">
        <v>19</v>
      </c>
      <c r="J35" s="81">
        <f>MAX(G5:G25)</f>
        <v>1</v>
      </c>
      <c r="K35" s="81"/>
      <c r="L35" s="81"/>
      <c r="M35" s="81"/>
      <c r="N35" s="81"/>
      <c r="O35" s="81"/>
      <c r="P35" s="81"/>
      <c r="Q35" s="81"/>
      <c r="R35" s="5"/>
      <c r="S35" s="5"/>
      <c r="T35" s="5"/>
      <c r="U35" s="114"/>
      <c r="V35" s="114"/>
      <c r="W35" s="114"/>
      <c r="X35" s="114"/>
      <c r="Y35" s="114"/>
      <c r="Z35" s="114"/>
      <c r="AA35" s="114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</row>
    <row r="36" spans="1:46" ht="6" customHeight="1">
      <c r="A36" s="5"/>
      <c r="B36" s="8"/>
      <c r="C36" s="19"/>
      <c r="D36" s="18"/>
      <c r="E36" s="14"/>
      <c r="F36" s="5"/>
      <c r="G36" s="14"/>
      <c r="H36" s="5"/>
      <c r="I36" s="19"/>
      <c r="J36" s="19"/>
      <c r="K36" s="19"/>
      <c r="L36" s="8"/>
      <c r="M36" s="8"/>
      <c r="N36" s="8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</row>
    <row r="37" spans="1:46">
      <c r="A37" s="5"/>
      <c r="B37" s="8"/>
      <c r="C37" s="84" t="s">
        <v>22</v>
      </c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5"/>
      <c r="AR37" s="12"/>
      <c r="AS37" s="12"/>
      <c r="AT37" s="12"/>
    </row>
    <row r="38" spans="1:46">
      <c r="A38" s="5"/>
      <c r="B38" s="84" t="str">
        <f>"funcion_de_valor= (exp  ((-"&amp;VALUE(AK6)&amp;"*mapa_atributo)-("&amp;MIN(G5:G25)&amp;")))/(("&amp;MAX(G5:G25)&amp;")-("&amp;MIN(G5:G25)&amp;"))"</f>
        <v>funcion_de_valor= (exp  ((-0.0326388688989666*mapa_atributo)-(0.0382394761500911)))/((1)-(0.0382394761500911))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12"/>
      <c r="AS38" s="12"/>
      <c r="AT38" s="12"/>
    </row>
    <row r="39" spans="1:46" ht="6" customHeight="1" thickBot="1">
      <c r="A39" s="5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26"/>
      <c r="AS39" s="26"/>
      <c r="AT39" s="26"/>
    </row>
    <row r="40" spans="1:46" ht="13.5" customHeight="1" thickBot="1">
      <c r="A40" s="5"/>
      <c r="B40" s="65" t="s">
        <v>4</v>
      </c>
      <c r="C40" s="66"/>
      <c r="D40" s="66"/>
      <c r="E40" s="66"/>
      <c r="F40" s="66"/>
      <c r="G40" s="66"/>
      <c r="H40" s="66"/>
      <c r="I40" s="66"/>
      <c r="J40" s="66"/>
      <c r="K40" s="66"/>
      <c r="L40" s="67"/>
      <c r="M40" s="65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7"/>
      <c r="AR40" s="27"/>
      <c r="AS40" s="27"/>
      <c r="AT40" s="27"/>
    </row>
    <row r="41" spans="1:46" ht="13.5" customHeight="1" thickBot="1">
      <c r="A41" s="5"/>
      <c r="B41" s="65" t="s">
        <v>10</v>
      </c>
      <c r="C41" s="66"/>
      <c r="D41" s="66"/>
      <c r="E41" s="66"/>
      <c r="F41" s="66"/>
      <c r="G41" s="66"/>
      <c r="H41" s="66"/>
      <c r="I41" s="66"/>
      <c r="J41" s="66"/>
      <c r="K41" s="66"/>
      <c r="L41" s="67"/>
      <c r="M41" s="65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7"/>
      <c r="AR41" s="5"/>
    </row>
    <row r="42" spans="1:46" ht="27" customHeight="1" thickBot="1">
      <c r="A42" s="5"/>
      <c r="B42" s="65" t="s">
        <v>12</v>
      </c>
      <c r="C42" s="66"/>
      <c r="D42" s="66"/>
      <c r="E42" s="66"/>
      <c r="F42" s="66"/>
      <c r="G42" s="66"/>
      <c r="H42" s="66"/>
      <c r="I42" s="66"/>
      <c r="J42" s="66"/>
      <c r="K42" s="66"/>
      <c r="L42" s="67"/>
      <c r="M42" s="65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7"/>
      <c r="AR42" s="5"/>
    </row>
    <row r="43" spans="1:46" ht="13.5" customHeight="1" thickBot="1">
      <c r="A43" s="5"/>
      <c r="B43" s="65" t="s">
        <v>5</v>
      </c>
      <c r="C43" s="66"/>
      <c r="D43" s="66"/>
      <c r="E43" s="66"/>
      <c r="F43" s="66"/>
      <c r="G43" s="66"/>
      <c r="H43" s="66"/>
      <c r="I43" s="66"/>
      <c r="J43" s="66"/>
      <c r="K43" s="66"/>
      <c r="L43" s="67"/>
      <c r="M43" s="65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7"/>
      <c r="AR43" s="5"/>
    </row>
    <row r="44" spans="1:46" ht="13.5" customHeight="1" thickBot="1">
      <c r="A44" s="5"/>
      <c r="B44" s="65" t="s">
        <v>6</v>
      </c>
      <c r="C44" s="66"/>
      <c r="D44" s="66"/>
      <c r="E44" s="66"/>
      <c r="F44" s="66"/>
      <c r="G44" s="66"/>
      <c r="H44" s="66"/>
      <c r="I44" s="66"/>
      <c r="J44" s="66"/>
      <c r="K44" s="66"/>
      <c r="L44" s="67"/>
      <c r="M44" s="65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7"/>
      <c r="AR44" s="5"/>
    </row>
    <row r="45" spans="1:46" ht="12.75" customHeight="1" thickBot="1">
      <c r="A45" s="5"/>
      <c r="B45" s="65" t="s">
        <v>7</v>
      </c>
      <c r="C45" s="66"/>
      <c r="D45" s="66"/>
      <c r="E45" s="66"/>
      <c r="F45" s="66"/>
      <c r="G45" s="66"/>
      <c r="H45" s="66"/>
      <c r="I45" s="66"/>
      <c r="J45" s="66"/>
      <c r="K45" s="66"/>
      <c r="L45" s="67"/>
      <c r="M45" s="68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70"/>
      <c r="AR45" s="5"/>
    </row>
    <row r="46" spans="1:46" ht="13.5" thickBot="1">
      <c r="A46" s="5"/>
      <c r="B46" s="65"/>
      <c r="C46" s="66"/>
      <c r="D46" s="66"/>
      <c r="E46" s="66"/>
      <c r="F46" s="66"/>
      <c r="G46" s="66"/>
      <c r="H46" s="66"/>
      <c r="I46" s="66"/>
      <c r="J46" s="66"/>
      <c r="K46" s="66"/>
      <c r="L46" s="67"/>
      <c r="M46" s="71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3"/>
      <c r="AR46" s="5"/>
    </row>
    <row r="47" spans="1:46" ht="13.5" thickBot="1">
      <c r="A47" s="5"/>
      <c r="B47" s="65"/>
      <c r="C47" s="66"/>
      <c r="D47" s="66"/>
      <c r="E47" s="66"/>
      <c r="F47" s="66"/>
      <c r="G47" s="66"/>
      <c r="H47" s="66"/>
      <c r="I47" s="66"/>
      <c r="J47" s="66"/>
      <c r="K47" s="66"/>
      <c r="L47" s="67"/>
      <c r="M47" s="71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3"/>
      <c r="AR47" s="5"/>
    </row>
    <row r="48" spans="1:46" ht="13.5" thickBot="1">
      <c r="A48" s="5"/>
      <c r="B48" s="65"/>
      <c r="C48" s="66"/>
      <c r="D48" s="66"/>
      <c r="E48" s="66"/>
      <c r="F48" s="66"/>
      <c r="G48" s="66"/>
      <c r="H48" s="66"/>
      <c r="I48" s="66"/>
      <c r="J48" s="66"/>
      <c r="K48" s="66"/>
      <c r="L48" s="67"/>
      <c r="M48" s="71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3"/>
      <c r="AR48" s="5"/>
    </row>
    <row r="49" spans="1:44" ht="13.5" thickBot="1">
      <c r="A49" s="5"/>
      <c r="B49" s="65"/>
      <c r="C49" s="66"/>
      <c r="D49" s="66"/>
      <c r="E49" s="66"/>
      <c r="F49" s="66"/>
      <c r="G49" s="66"/>
      <c r="H49" s="66"/>
      <c r="I49" s="66"/>
      <c r="J49" s="66"/>
      <c r="K49" s="66"/>
      <c r="L49" s="67"/>
      <c r="M49" s="71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3"/>
      <c r="AR49" s="5"/>
    </row>
    <row r="50" spans="1:44" ht="13.5" thickBot="1">
      <c r="A50" s="5"/>
      <c r="B50" s="65"/>
      <c r="C50" s="66"/>
      <c r="D50" s="66"/>
      <c r="E50" s="66"/>
      <c r="F50" s="66"/>
      <c r="G50" s="66"/>
      <c r="H50" s="66"/>
      <c r="I50" s="66"/>
      <c r="J50" s="66"/>
      <c r="K50" s="66"/>
      <c r="L50" s="67"/>
      <c r="M50" s="71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3"/>
      <c r="AR50" s="5"/>
    </row>
    <row r="51" spans="1:44" ht="13.5" thickBot="1">
      <c r="A51" s="5"/>
      <c r="B51" s="65"/>
      <c r="C51" s="66"/>
      <c r="D51" s="66"/>
      <c r="E51" s="66"/>
      <c r="F51" s="66"/>
      <c r="G51" s="66"/>
      <c r="H51" s="66"/>
      <c r="I51" s="66"/>
      <c r="J51" s="66"/>
      <c r="K51" s="66"/>
      <c r="L51" s="67"/>
      <c r="M51" s="71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3"/>
      <c r="AR51" s="5"/>
    </row>
    <row r="52" spans="1:44" ht="13.5" thickBot="1">
      <c r="A52" s="5"/>
      <c r="B52" s="65"/>
      <c r="C52" s="66"/>
      <c r="D52" s="66"/>
      <c r="E52" s="66"/>
      <c r="F52" s="66"/>
      <c r="G52" s="66"/>
      <c r="H52" s="66"/>
      <c r="I52" s="66"/>
      <c r="J52" s="66"/>
      <c r="K52" s="66"/>
      <c r="L52" s="67"/>
      <c r="M52" s="71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3"/>
      <c r="AR52" s="5"/>
    </row>
    <row r="53" spans="1:44" ht="13.5" thickBot="1">
      <c r="A53" s="5"/>
      <c r="B53" s="65"/>
      <c r="C53" s="66"/>
      <c r="D53" s="66"/>
      <c r="E53" s="66"/>
      <c r="F53" s="66"/>
      <c r="G53" s="66"/>
      <c r="H53" s="66"/>
      <c r="I53" s="66"/>
      <c r="J53" s="66"/>
      <c r="K53" s="66"/>
      <c r="L53" s="67"/>
      <c r="M53" s="74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6"/>
      <c r="AR53" s="5"/>
    </row>
    <row r="54" spans="1:44" ht="27" customHeight="1" thickBot="1">
      <c r="A54" s="5"/>
      <c r="B54" s="65" t="s">
        <v>11</v>
      </c>
      <c r="C54" s="66"/>
      <c r="D54" s="66"/>
      <c r="E54" s="66"/>
      <c r="F54" s="66"/>
      <c r="G54" s="66"/>
      <c r="H54" s="66"/>
      <c r="I54" s="66"/>
      <c r="J54" s="66"/>
      <c r="K54" s="66"/>
      <c r="L54" s="67"/>
      <c r="M54" s="65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7"/>
      <c r="AR54" s="5"/>
    </row>
    <row r="55" spans="1:44" ht="13.5" customHeight="1" thickBot="1">
      <c r="A55" s="5"/>
      <c r="B55" s="65" t="s">
        <v>8</v>
      </c>
      <c r="C55" s="66"/>
      <c r="D55" s="66"/>
      <c r="E55" s="66"/>
      <c r="F55" s="66"/>
      <c r="G55" s="66"/>
      <c r="H55" s="66"/>
      <c r="I55" s="66"/>
      <c r="J55" s="66"/>
      <c r="K55" s="66"/>
      <c r="L55" s="67"/>
      <c r="M55" s="65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7"/>
      <c r="AR55" s="5"/>
    </row>
    <row r="56" spans="1:44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</row>
  </sheetData>
  <mergeCells count="107">
    <mergeCell ref="U32:AA35"/>
    <mergeCell ref="M54:AQ54"/>
    <mergeCell ref="M55:AQ55"/>
    <mergeCell ref="B54:L54"/>
    <mergeCell ref="B55:L55"/>
    <mergeCell ref="M40:AQ40"/>
    <mergeCell ref="M41:AQ41"/>
    <mergeCell ref="M42:AQ42"/>
    <mergeCell ref="M43:AQ43"/>
    <mergeCell ref="M44:AQ44"/>
    <mergeCell ref="M45:AQ45"/>
    <mergeCell ref="M46:AQ46"/>
    <mergeCell ref="M47:AQ47"/>
    <mergeCell ref="M48:AQ48"/>
    <mergeCell ref="M49:AQ49"/>
    <mergeCell ref="M50:AQ50"/>
    <mergeCell ref="M51:AQ51"/>
    <mergeCell ref="M52:AQ52"/>
    <mergeCell ref="M53:AQ53"/>
    <mergeCell ref="B41:L41"/>
    <mergeCell ref="B42:L42"/>
    <mergeCell ref="B43:L43"/>
    <mergeCell ref="B44:L44"/>
    <mergeCell ref="B45:L53"/>
    <mergeCell ref="J33:Q33"/>
    <mergeCell ref="J32:Q32"/>
    <mergeCell ref="J34:Q34"/>
    <mergeCell ref="J35:Q35"/>
    <mergeCell ref="B40:L40"/>
    <mergeCell ref="C37:AP37"/>
    <mergeCell ref="M20:S20"/>
    <mergeCell ref="M21:S21"/>
    <mergeCell ref="M22:S22"/>
    <mergeCell ref="M23:S23"/>
    <mergeCell ref="M24:S24"/>
    <mergeCell ref="G25:L25"/>
    <mergeCell ref="C21:F21"/>
    <mergeCell ref="C22:F22"/>
    <mergeCell ref="C23:F23"/>
    <mergeCell ref="C24:F24"/>
    <mergeCell ref="AM27:AQ27"/>
    <mergeCell ref="AM28:AQ28"/>
    <mergeCell ref="AM29:AQ29"/>
    <mergeCell ref="AM30:AQ30"/>
    <mergeCell ref="AA27:AL27"/>
    <mergeCell ref="AA28:AL28"/>
    <mergeCell ref="AA29:AL29"/>
    <mergeCell ref="AA30:AL30"/>
    <mergeCell ref="M15:S15"/>
    <mergeCell ref="M16:S16"/>
    <mergeCell ref="M17:S17"/>
    <mergeCell ref="M18:S18"/>
    <mergeCell ref="M19:S19"/>
    <mergeCell ref="G20:L20"/>
    <mergeCell ref="G21:L21"/>
    <mergeCell ref="G5:L5"/>
    <mergeCell ref="G6:L6"/>
    <mergeCell ref="G7:L7"/>
    <mergeCell ref="G8:L8"/>
    <mergeCell ref="G9:L9"/>
    <mergeCell ref="M5:S5"/>
    <mergeCell ref="M6:S6"/>
    <mergeCell ref="M7:S7"/>
    <mergeCell ref="M8:S8"/>
    <mergeCell ref="M9:S9"/>
    <mergeCell ref="M10:S10"/>
    <mergeCell ref="M11:S11"/>
    <mergeCell ref="M12:S12"/>
    <mergeCell ref="M13:S13"/>
    <mergeCell ref="C5:F5"/>
    <mergeCell ref="G22:L22"/>
    <mergeCell ref="G23:L23"/>
    <mergeCell ref="G24:L24"/>
    <mergeCell ref="G15:L15"/>
    <mergeCell ref="G16:L16"/>
    <mergeCell ref="G17:L17"/>
    <mergeCell ref="G18:L18"/>
    <mergeCell ref="G19:L19"/>
    <mergeCell ref="G10:L10"/>
    <mergeCell ref="G11:L11"/>
    <mergeCell ref="G12:L12"/>
    <mergeCell ref="G13:L13"/>
    <mergeCell ref="G14:L14"/>
    <mergeCell ref="B38:AQ38"/>
    <mergeCell ref="C25:F25"/>
    <mergeCell ref="C16:F16"/>
    <mergeCell ref="C17:F17"/>
    <mergeCell ref="C18:F18"/>
    <mergeCell ref="C19:F19"/>
    <mergeCell ref="C20:F20"/>
    <mergeCell ref="AK6:AP6"/>
    <mergeCell ref="AA6:AJ6"/>
    <mergeCell ref="AI10:AL10"/>
    <mergeCell ref="AC11:AL13"/>
    <mergeCell ref="AC10:AH10"/>
    <mergeCell ref="C6:F6"/>
    <mergeCell ref="C7:F7"/>
    <mergeCell ref="C8:F8"/>
    <mergeCell ref="C9:F9"/>
    <mergeCell ref="C10:F10"/>
    <mergeCell ref="C11:F11"/>
    <mergeCell ref="C12:F12"/>
    <mergeCell ref="C13:F13"/>
    <mergeCell ref="C14:F14"/>
    <mergeCell ref="C15:F15"/>
    <mergeCell ref="M25:S25"/>
    <mergeCell ref="M14:S14"/>
  </mergeCells>
  <phoneticPr fontId="1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oleObjects>
    <oleObject progId="Equation.3" shapeId="7184" r:id="rId4"/>
    <oleObject progId="Equation.3" shapeId="7185" r:id="rId5"/>
    <oleObject progId="Equation.3" shapeId="7186" r:id="rId6"/>
  </oleObjec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 enableFormatConditionsCalculation="0"/>
  <dimension ref="A1:BG55"/>
  <sheetViews>
    <sheetView zoomScale="80" zoomScaleNormal="80" zoomScalePageLayoutView="80" workbookViewId="0">
      <selection activeCell="BA13" sqref="BA13"/>
    </sheetView>
  </sheetViews>
  <sheetFormatPr defaultColWidth="9.140625" defaultRowHeight="12.75"/>
  <cols>
    <col min="1" max="1" width="2.85546875" customWidth="1"/>
    <col min="2" max="52" width="2.140625" customWidth="1"/>
  </cols>
  <sheetData>
    <row r="1" spans="1:44" ht="4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4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</row>
    <row r="3" spans="1:44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spans="1:4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>
      <c r="A5" s="5"/>
      <c r="B5" s="5"/>
      <c r="C5" s="103">
        <f>((G5-MIN($G$5:$G$25))/(MAX($G$5:$G$25)-MIN($G$5:$G$25)))</f>
        <v>0</v>
      </c>
      <c r="D5" s="103"/>
      <c r="E5" s="103"/>
      <c r="F5" s="103"/>
      <c r="G5" s="59">
        <f>AM27</f>
        <v>0</v>
      </c>
      <c r="H5" s="59"/>
      <c r="I5" s="59"/>
      <c r="J5" s="59"/>
      <c r="K5" s="59">
        <f t="shared" ref="K5:K25" si="0">(1-((C5-$AJ$12)/($AJ$13-$AJ$12)))*(PI()/2)</f>
        <v>1.5707963267948966</v>
      </c>
      <c r="L5" s="59"/>
      <c r="M5" s="59"/>
      <c r="N5" s="59"/>
      <c r="O5" s="59"/>
      <c r="P5" s="59"/>
      <c r="Q5" s="59"/>
      <c r="R5" s="59">
        <f t="shared" ref="R5:R25" si="1">((C5-$AJ$14)/($AJ$15-$AJ$14))*(PI()/2)</f>
        <v>-2.3561944901923444</v>
      </c>
      <c r="S5" s="59"/>
      <c r="T5" s="59"/>
      <c r="U5" s="59"/>
      <c r="V5" s="59"/>
      <c r="W5" s="59"/>
      <c r="X5" s="59"/>
      <c r="Y5" s="59">
        <f t="shared" ref="Y5:Y25" si="2">IF(C5&lt;$AJ$12,0,IF(C5&gt;$AJ$15,0,IF(AND(C5&gt;=$AJ$12,C5&lt;=$AJ$13),COS(K5)^2,IF(AND(C5&gt;$AJ$13,C5&lt;$AJ$14),1,IF(AND(C5&gt;=$AJ$14,C5&lt;=$AJ$15),COS(R5)^2)))))</f>
        <v>3.7524718414124473E-33</v>
      </c>
      <c r="Z5" s="59"/>
      <c r="AA5" s="59"/>
      <c r="AB5" s="59"/>
      <c r="AC5" s="59"/>
      <c r="AD5" s="59"/>
      <c r="AE5" s="59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5"/>
      <c r="AR5" s="5"/>
    </row>
    <row r="6" spans="1:44">
      <c r="A6" s="5"/>
      <c r="B6" s="5"/>
      <c r="C6" s="103">
        <f t="shared" ref="C6:C25" si="3">((G6-MIN($G$5:$G$25))/(MAX($G$5:$G$25)-MIN($G$5:$G$25)))</f>
        <v>0.05</v>
      </c>
      <c r="D6" s="103"/>
      <c r="E6" s="103"/>
      <c r="F6" s="103"/>
      <c r="G6" s="59">
        <f>G5+$AM$6</f>
        <v>50</v>
      </c>
      <c r="H6" s="59"/>
      <c r="I6" s="59"/>
      <c r="J6" s="59"/>
      <c r="K6" s="59">
        <f t="shared" si="0"/>
        <v>1.3744467859455345</v>
      </c>
      <c r="L6" s="59"/>
      <c r="M6" s="59"/>
      <c r="N6" s="59"/>
      <c r="O6" s="59"/>
      <c r="P6" s="59"/>
      <c r="Q6" s="59"/>
      <c r="R6" s="59">
        <f t="shared" si="1"/>
        <v>-2.1598449493429825</v>
      </c>
      <c r="S6" s="59"/>
      <c r="T6" s="59"/>
      <c r="U6" s="59"/>
      <c r="V6" s="59"/>
      <c r="W6" s="59"/>
      <c r="X6" s="59"/>
      <c r="Y6" s="59">
        <f t="shared" si="2"/>
        <v>3.8060233744356645E-2</v>
      </c>
      <c r="Z6" s="59"/>
      <c r="AA6" s="59"/>
      <c r="AB6" s="59"/>
      <c r="AC6" s="59"/>
      <c r="AD6" s="59"/>
      <c r="AE6" s="59"/>
      <c r="AF6" s="21"/>
      <c r="AG6" s="21"/>
      <c r="AH6" s="121" t="s">
        <v>0</v>
      </c>
      <c r="AI6" s="121"/>
      <c r="AJ6" s="121"/>
      <c r="AK6" s="121"/>
      <c r="AL6" s="121"/>
      <c r="AM6" s="121">
        <f>(AM28-AM27)/20</f>
        <v>50</v>
      </c>
      <c r="AN6" s="121"/>
      <c r="AO6" s="121"/>
      <c r="AP6" s="21"/>
      <c r="AQ6" s="5"/>
      <c r="AR6" s="5"/>
    </row>
    <row r="7" spans="1:44">
      <c r="A7" s="5"/>
      <c r="B7" s="5"/>
      <c r="C7" s="103">
        <f t="shared" si="3"/>
        <v>0.1</v>
      </c>
      <c r="D7" s="103"/>
      <c r="E7" s="103"/>
      <c r="F7" s="103"/>
      <c r="G7" s="59">
        <f t="shared" ref="G7:G24" si="4">G6+$AM$6</f>
        <v>100</v>
      </c>
      <c r="H7" s="59"/>
      <c r="I7" s="59"/>
      <c r="J7" s="59"/>
      <c r="K7" s="59">
        <f t="shared" si="0"/>
        <v>1.1780972450961724</v>
      </c>
      <c r="L7" s="59"/>
      <c r="M7" s="59"/>
      <c r="N7" s="59"/>
      <c r="O7" s="59"/>
      <c r="P7" s="59"/>
      <c r="Q7" s="59"/>
      <c r="R7" s="59">
        <f t="shared" si="1"/>
        <v>-1.9634954084936207</v>
      </c>
      <c r="S7" s="59"/>
      <c r="T7" s="59"/>
      <c r="U7" s="59"/>
      <c r="V7" s="59"/>
      <c r="W7" s="59"/>
      <c r="X7" s="59"/>
      <c r="Y7" s="59">
        <f t="shared" si="2"/>
        <v>0.1464466094067263</v>
      </c>
      <c r="Z7" s="59"/>
      <c r="AA7" s="59"/>
      <c r="AB7" s="59"/>
      <c r="AC7" s="59"/>
      <c r="AD7" s="59"/>
      <c r="AE7" s="59"/>
      <c r="AF7" s="23"/>
      <c r="AG7" s="23"/>
      <c r="AH7" s="122" t="s">
        <v>16</v>
      </c>
      <c r="AI7" s="122"/>
      <c r="AJ7" s="122"/>
      <c r="AK7" s="122"/>
      <c r="AL7" s="122"/>
      <c r="AM7" s="122"/>
      <c r="AN7" s="122"/>
      <c r="AO7" s="122"/>
      <c r="AP7" s="23"/>
      <c r="AQ7" s="5"/>
      <c r="AR7" s="5"/>
    </row>
    <row r="8" spans="1:44">
      <c r="A8" s="5"/>
      <c r="B8" s="5"/>
      <c r="C8" s="103">
        <f t="shared" si="3"/>
        <v>0.15</v>
      </c>
      <c r="D8" s="103"/>
      <c r="E8" s="103"/>
      <c r="F8" s="103"/>
      <c r="G8" s="59">
        <f t="shared" si="4"/>
        <v>150</v>
      </c>
      <c r="H8" s="59"/>
      <c r="I8" s="59"/>
      <c r="J8" s="59"/>
      <c r="K8" s="59">
        <f t="shared" si="0"/>
        <v>0.98174770424681035</v>
      </c>
      <c r="L8" s="59"/>
      <c r="M8" s="59"/>
      <c r="N8" s="59"/>
      <c r="O8" s="59"/>
      <c r="P8" s="59"/>
      <c r="Q8" s="59"/>
      <c r="R8" s="59">
        <f t="shared" si="1"/>
        <v>-1.7671458676442582</v>
      </c>
      <c r="S8" s="59"/>
      <c r="T8" s="59"/>
      <c r="U8" s="59"/>
      <c r="V8" s="59"/>
      <c r="W8" s="59"/>
      <c r="X8" s="59"/>
      <c r="Y8" s="59">
        <f t="shared" si="2"/>
        <v>0.30865828381745519</v>
      </c>
      <c r="Z8" s="59"/>
      <c r="AA8" s="59"/>
      <c r="AB8" s="59"/>
      <c r="AC8" s="59"/>
      <c r="AD8" s="59"/>
      <c r="AE8" s="59"/>
      <c r="AF8" s="23"/>
      <c r="AG8" s="23"/>
      <c r="AH8" s="122"/>
      <c r="AI8" s="122"/>
      <c r="AJ8" s="122"/>
      <c r="AK8" s="122"/>
      <c r="AL8" s="122"/>
      <c r="AM8" s="122"/>
      <c r="AN8" s="122"/>
      <c r="AO8" s="122"/>
      <c r="AP8" s="23"/>
      <c r="AQ8" s="5"/>
      <c r="AR8" s="5"/>
    </row>
    <row r="9" spans="1:44">
      <c r="A9" s="5"/>
      <c r="B9" s="5"/>
      <c r="C9" s="103">
        <f t="shared" si="3"/>
        <v>0.2</v>
      </c>
      <c r="D9" s="103"/>
      <c r="E9" s="103"/>
      <c r="F9" s="103"/>
      <c r="G9" s="59">
        <f t="shared" si="4"/>
        <v>200</v>
      </c>
      <c r="H9" s="59"/>
      <c r="I9" s="59"/>
      <c r="J9" s="59"/>
      <c r="K9" s="59">
        <f t="shared" si="0"/>
        <v>0.78539816339744828</v>
      </c>
      <c r="L9" s="59"/>
      <c r="M9" s="59"/>
      <c r="N9" s="59"/>
      <c r="O9" s="59"/>
      <c r="P9" s="59"/>
      <c r="Q9" s="59"/>
      <c r="R9" s="59">
        <f t="shared" si="1"/>
        <v>-1.5707963267948963</v>
      </c>
      <c r="S9" s="59"/>
      <c r="T9" s="59"/>
      <c r="U9" s="59"/>
      <c r="V9" s="59"/>
      <c r="W9" s="59"/>
      <c r="X9" s="59"/>
      <c r="Y9" s="59">
        <f t="shared" si="2"/>
        <v>0.50000000000000011</v>
      </c>
      <c r="Z9" s="59"/>
      <c r="AA9" s="59"/>
      <c r="AB9" s="59"/>
      <c r="AC9" s="59"/>
      <c r="AD9" s="59"/>
      <c r="AE9" s="59"/>
      <c r="AF9" s="23"/>
      <c r="AG9" s="23"/>
      <c r="AH9" s="122"/>
      <c r="AI9" s="122"/>
      <c r="AJ9" s="122"/>
      <c r="AK9" s="122"/>
      <c r="AL9" s="122"/>
      <c r="AM9" s="122"/>
      <c r="AN9" s="122"/>
      <c r="AO9" s="122"/>
      <c r="AP9" s="23"/>
      <c r="AQ9" s="5"/>
      <c r="AR9" s="5"/>
    </row>
    <row r="10" spans="1:44">
      <c r="A10" s="5"/>
      <c r="B10" s="5"/>
      <c r="C10" s="103">
        <f t="shared" si="3"/>
        <v>0.25</v>
      </c>
      <c r="D10" s="103"/>
      <c r="E10" s="103"/>
      <c r="F10" s="103"/>
      <c r="G10" s="59">
        <f t="shared" si="4"/>
        <v>250</v>
      </c>
      <c r="H10" s="59"/>
      <c r="I10" s="59"/>
      <c r="J10" s="59"/>
      <c r="K10" s="59">
        <f t="shared" si="0"/>
        <v>0.58904862254808621</v>
      </c>
      <c r="L10" s="59"/>
      <c r="M10" s="59"/>
      <c r="N10" s="59"/>
      <c r="O10" s="59"/>
      <c r="P10" s="59"/>
      <c r="Q10" s="59"/>
      <c r="R10" s="59">
        <f t="shared" si="1"/>
        <v>-1.3744467859455343</v>
      </c>
      <c r="S10" s="59"/>
      <c r="T10" s="59"/>
      <c r="U10" s="59"/>
      <c r="V10" s="59"/>
      <c r="W10" s="59"/>
      <c r="X10" s="59"/>
      <c r="Y10" s="59">
        <f t="shared" si="2"/>
        <v>0.69134171618254492</v>
      </c>
      <c r="Z10" s="59"/>
      <c r="AA10" s="59"/>
      <c r="AB10" s="59"/>
      <c r="AC10" s="59"/>
      <c r="AD10" s="59"/>
      <c r="AE10" s="59"/>
      <c r="AF10" s="21"/>
      <c r="AG10" s="21"/>
      <c r="AH10" s="21"/>
      <c r="AJ10" s="22"/>
      <c r="AK10" s="22"/>
      <c r="AL10" s="22"/>
      <c r="AM10" s="21"/>
      <c r="AN10" s="22"/>
      <c r="AO10" s="23"/>
      <c r="AP10" s="23"/>
      <c r="AQ10" s="5"/>
      <c r="AR10" s="5"/>
    </row>
    <row r="11" spans="1:44" ht="12.75" customHeight="1">
      <c r="A11" s="5"/>
      <c r="B11" s="5"/>
      <c r="C11" s="103">
        <f t="shared" si="3"/>
        <v>0.3</v>
      </c>
      <c r="D11" s="103"/>
      <c r="E11" s="103"/>
      <c r="F11" s="103"/>
      <c r="G11" s="59">
        <f t="shared" si="4"/>
        <v>300</v>
      </c>
      <c r="H11" s="59"/>
      <c r="I11" s="59"/>
      <c r="J11" s="59"/>
      <c r="K11" s="59">
        <f t="shared" si="0"/>
        <v>0.39269908169872431</v>
      </c>
      <c r="L11" s="59"/>
      <c r="M11" s="59"/>
      <c r="N11" s="59"/>
      <c r="O11" s="59"/>
      <c r="P11" s="59"/>
      <c r="Q11" s="59"/>
      <c r="R11" s="59">
        <f t="shared" si="1"/>
        <v>-1.1780972450961722</v>
      </c>
      <c r="S11" s="59"/>
      <c r="T11" s="59"/>
      <c r="U11" s="59"/>
      <c r="V11" s="59"/>
      <c r="W11" s="59"/>
      <c r="X11" s="59"/>
      <c r="Y11" s="59">
        <f t="shared" si="2"/>
        <v>0.85355339059327373</v>
      </c>
      <c r="Z11" s="59"/>
      <c r="AA11" s="59"/>
      <c r="AB11" s="59"/>
      <c r="AC11" s="59"/>
      <c r="AD11" s="59"/>
      <c r="AE11" s="59"/>
      <c r="AF11" s="51"/>
      <c r="AG11" s="51"/>
      <c r="AH11" s="51"/>
      <c r="AI11" s="51"/>
      <c r="AJ11" s="51"/>
      <c r="AK11" s="51"/>
      <c r="AL11" s="51"/>
      <c r="AM11" s="51"/>
      <c r="AN11" s="23"/>
      <c r="AO11" s="23"/>
      <c r="AP11" s="23"/>
      <c r="AQ11" s="5"/>
      <c r="AR11" s="5"/>
    </row>
    <row r="12" spans="1:44">
      <c r="A12" s="5"/>
      <c r="B12" s="5"/>
      <c r="C12" s="103">
        <f t="shared" si="3"/>
        <v>0.35</v>
      </c>
      <c r="D12" s="103"/>
      <c r="E12" s="103"/>
      <c r="F12" s="103"/>
      <c r="G12" s="59">
        <f t="shared" si="4"/>
        <v>350</v>
      </c>
      <c r="H12" s="59"/>
      <c r="I12" s="59"/>
      <c r="J12" s="59"/>
      <c r="K12" s="59">
        <f t="shared" si="0"/>
        <v>0.19634954084936224</v>
      </c>
      <c r="L12" s="59"/>
      <c r="M12" s="59"/>
      <c r="N12" s="59"/>
      <c r="O12" s="59"/>
      <c r="P12" s="59"/>
      <c r="Q12" s="59"/>
      <c r="R12" s="59">
        <f t="shared" si="1"/>
        <v>-0.98174770424681035</v>
      </c>
      <c r="S12" s="59"/>
      <c r="T12" s="59"/>
      <c r="U12" s="59"/>
      <c r="V12" s="59"/>
      <c r="W12" s="59"/>
      <c r="X12" s="59"/>
      <c r="Y12" s="59">
        <f t="shared" si="2"/>
        <v>0.96193976625564337</v>
      </c>
      <c r="Z12" s="59"/>
      <c r="AA12" s="59"/>
      <c r="AB12" s="59"/>
      <c r="AC12" s="59"/>
      <c r="AD12" s="59"/>
      <c r="AE12" s="59"/>
      <c r="AF12" s="51"/>
      <c r="AG12" s="126" t="s">
        <v>26</v>
      </c>
      <c r="AH12" s="126"/>
      <c r="AI12" s="126"/>
      <c r="AJ12" s="123">
        <f>(AM30-MIN($G$5:$G$25))/((MAX($G$5:$G$25)-MIN($G$5:$G$25)))</f>
        <v>0</v>
      </c>
      <c r="AK12" s="123"/>
      <c r="AL12" s="123"/>
      <c r="AM12" s="123"/>
      <c r="AN12" s="123"/>
      <c r="AO12" s="23"/>
      <c r="AP12" s="23"/>
      <c r="AQ12" s="5"/>
      <c r="AR12" s="5"/>
    </row>
    <row r="13" spans="1:44">
      <c r="A13" s="5"/>
      <c r="B13" s="5"/>
      <c r="C13" s="103">
        <f t="shared" si="3"/>
        <v>0.4</v>
      </c>
      <c r="D13" s="103"/>
      <c r="E13" s="103"/>
      <c r="F13" s="103"/>
      <c r="G13" s="59">
        <f t="shared" si="4"/>
        <v>400</v>
      </c>
      <c r="H13" s="59"/>
      <c r="I13" s="59"/>
      <c r="J13" s="59"/>
      <c r="K13" s="59">
        <f t="shared" si="0"/>
        <v>0</v>
      </c>
      <c r="L13" s="59"/>
      <c r="M13" s="59"/>
      <c r="N13" s="59"/>
      <c r="O13" s="59"/>
      <c r="P13" s="59"/>
      <c r="Q13" s="59"/>
      <c r="R13" s="59">
        <f t="shared" si="1"/>
        <v>-0.78539816339744806</v>
      </c>
      <c r="S13" s="59"/>
      <c r="T13" s="59"/>
      <c r="U13" s="59"/>
      <c r="V13" s="59"/>
      <c r="W13" s="59"/>
      <c r="X13" s="59"/>
      <c r="Y13" s="59">
        <f t="shared" si="2"/>
        <v>1</v>
      </c>
      <c r="Z13" s="59"/>
      <c r="AA13" s="59"/>
      <c r="AB13" s="59"/>
      <c r="AC13" s="59"/>
      <c r="AD13" s="59"/>
      <c r="AE13" s="59"/>
      <c r="AF13" s="51"/>
      <c r="AG13" s="121" t="s">
        <v>27</v>
      </c>
      <c r="AH13" s="121"/>
      <c r="AI13" s="121"/>
      <c r="AJ13" s="123">
        <f>(AM31-MIN($G$5:$G$25))/((MAX($G$5:$G$25)-MIN($G$5:$G$25)))</f>
        <v>0.4</v>
      </c>
      <c r="AK13" s="123"/>
      <c r="AL13" s="123"/>
      <c r="AM13" s="123"/>
      <c r="AN13" s="123"/>
      <c r="AO13" s="23"/>
      <c r="AP13" s="23"/>
      <c r="AQ13" s="5"/>
      <c r="AR13" s="5"/>
    </row>
    <row r="14" spans="1:44">
      <c r="A14" s="5"/>
      <c r="B14" s="5"/>
      <c r="C14" s="103">
        <f t="shared" si="3"/>
        <v>0.45</v>
      </c>
      <c r="D14" s="103"/>
      <c r="E14" s="103"/>
      <c r="F14" s="103"/>
      <c r="G14" s="59">
        <f t="shared" si="4"/>
        <v>450</v>
      </c>
      <c r="H14" s="59"/>
      <c r="I14" s="59"/>
      <c r="J14" s="59"/>
      <c r="K14" s="59">
        <f t="shared" si="0"/>
        <v>-0.19634954084936207</v>
      </c>
      <c r="L14" s="59"/>
      <c r="M14" s="59"/>
      <c r="N14" s="59"/>
      <c r="O14" s="59"/>
      <c r="P14" s="59"/>
      <c r="Q14" s="59"/>
      <c r="R14" s="59">
        <f t="shared" si="1"/>
        <v>-0.58904862254808599</v>
      </c>
      <c r="S14" s="59"/>
      <c r="T14" s="59"/>
      <c r="U14" s="59"/>
      <c r="V14" s="59"/>
      <c r="W14" s="59"/>
      <c r="X14" s="59"/>
      <c r="Y14" s="59">
        <f t="shared" si="2"/>
        <v>1</v>
      </c>
      <c r="Z14" s="59"/>
      <c r="AA14" s="59"/>
      <c r="AB14" s="59"/>
      <c r="AC14" s="59"/>
      <c r="AD14" s="59"/>
      <c r="AE14" s="59"/>
      <c r="AF14" s="23"/>
      <c r="AG14" s="121" t="s">
        <v>28</v>
      </c>
      <c r="AH14" s="121"/>
      <c r="AI14" s="121"/>
      <c r="AJ14" s="123">
        <f>(AM32-MIN($G$5:$G$25))/((MAX($G$5:$G$25)-MIN($G$5:$G$25)))</f>
        <v>0.6</v>
      </c>
      <c r="AK14" s="123"/>
      <c r="AL14" s="123"/>
      <c r="AM14" s="123"/>
      <c r="AN14" s="123"/>
      <c r="AO14" s="23"/>
      <c r="AP14" s="23"/>
      <c r="AQ14" s="5"/>
      <c r="AR14" s="5"/>
    </row>
    <row r="15" spans="1:44">
      <c r="A15" s="5"/>
      <c r="B15" s="5"/>
      <c r="C15" s="103">
        <f t="shared" si="3"/>
        <v>0.5</v>
      </c>
      <c r="D15" s="103"/>
      <c r="E15" s="103"/>
      <c r="F15" s="103"/>
      <c r="G15" s="59">
        <f t="shared" si="4"/>
        <v>500</v>
      </c>
      <c r="H15" s="59"/>
      <c r="I15" s="59"/>
      <c r="J15" s="59"/>
      <c r="K15" s="59">
        <f t="shared" si="0"/>
        <v>-0.39269908169872414</v>
      </c>
      <c r="L15" s="59"/>
      <c r="M15" s="59"/>
      <c r="N15" s="59"/>
      <c r="O15" s="59"/>
      <c r="P15" s="59"/>
      <c r="Q15" s="59"/>
      <c r="R15" s="59">
        <f t="shared" si="1"/>
        <v>-0.39269908169872403</v>
      </c>
      <c r="S15" s="59"/>
      <c r="T15" s="59"/>
      <c r="U15" s="59"/>
      <c r="V15" s="59"/>
      <c r="W15" s="59"/>
      <c r="X15" s="59"/>
      <c r="Y15" s="59">
        <f t="shared" si="2"/>
        <v>1</v>
      </c>
      <c r="Z15" s="59"/>
      <c r="AA15" s="59"/>
      <c r="AB15" s="59"/>
      <c r="AC15" s="59"/>
      <c r="AD15" s="59"/>
      <c r="AE15" s="59"/>
      <c r="AF15" s="5"/>
      <c r="AG15" s="121" t="s">
        <v>29</v>
      </c>
      <c r="AH15" s="121"/>
      <c r="AI15" s="121"/>
      <c r="AJ15" s="123">
        <f>(AM33-MIN($G$5:$G$25))/((MAX($G$5:$G$25)-MIN($G$5:$G$25)))</f>
        <v>1</v>
      </c>
      <c r="AK15" s="123"/>
      <c r="AL15" s="123"/>
      <c r="AM15" s="123"/>
      <c r="AN15" s="123"/>
      <c r="AO15" s="5"/>
      <c r="AP15" s="5"/>
      <c r="AQ15" s="5"/>
      <c r="AR15" s="5"/>
    </row>
    <row r="16" spans="1:44">
      <c r="A16" s="5"/>
      <c r="B16" s="5"/>
      <c r="C16" s="103">
        <f t="shared" si="3"/>
        <v>0.55000000000000004</v>
      </c>
      <c r="D16" s="103"/>
      <c r="E16" s="103"/>
      <c r="F16" s="103"/>
      <c r="G16" s="59">
        <f t="shared" si="4"/>
        <v>550</v>
      </c>
      <c r="H16" s="59"/>
      <c r="I16" s="59"/>
      <c r="J16" s="59"/>
      <c r="K16" s="59">
        <f t="shared" si="0"/>
        <v>-0.58904862254808621</v>
      </c>
      <c r="L16" s="59"/>
      <c r="M16" s="59"/>
      <c r="N16" s="59"/>
      <c r="O16" s="59"/>
      <c r="P16" s="59"/>
      <c r="Q16" s="59"/>
      <c r="R16" s="59">
        <f t="shared" si="1"/>
        <v>-0.19634954084936182</v>
      </c>
      <c r="S16" s="59"/>
      <c r="T16" s="59"/>
      <c r="U16" s="59"/>
      <c r="V16" s="59"/>
      <c r="W16" s="59"/>
      <c r="X16" s="59"/>
      <c r="Y16" s="59">
        <f t="shared" si="2"/>
        <v>1</v>
      </c>
      <c r="Z16" s="59"/>
      <c r="AA16" s="59"/>
      <c r="AB16" s="59"/>
      <c r="AC16" s="59"/>
      <c r="AD16" s="59"/>
      <c r="AE16" s="59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</row>
    <row r="17" spans="1:59" ht="12.75" customHeight="1">
      <c r="A17" s="5"/>
      <c r="B17" s="5"/>
      <c r="C17" s="103">
        <f t="shared" si="3"/>
        <v>0.6</v>
      </c>
      <c r="D17" s="103"/>
      <c r="E17" s="103"/>
      <c r="F17" s="103"/>
      <c r="G17" s="59">
        <f t="shared" si="4"/>
        <v>600</v>
      </c>
      <c r="H17" s="59"/>
      <c r="I17" s="59"/>
      <c r="J17" s="59"/>
      <c r="K17" s="59">
        <f t="shared" si="0"/>
        <v>-0.78539816339744795</v>
      </c>
      <c r="L17" s="59"/>
      <c r="M17" s="59"/>
      <c r="N17" s="59"/>
      <c r="O17" s="59"/>
      <c r="P17" s="59"/>
      <c r="Q17" s="59"/>
      <c r="R17" s="59">
        <f t="shared" si="1"/>
        <v>0</v>
      </c>
      <c r="S17" s="59"/>
      <c r="T17" s="59"/>
      <c r="U17" s="59"/>
      <c r="V17" s="59"/>
      <c r="W17" s="59"/>
      <c r="X17" s="59"/>
      <c r="Y17" s="59">
        <f t="shared" si="2"/>
        <v>1</v>
      </c>
      <c r="Z17" s="59"/>
      <c r="AA17" s="59"/>
      <c r="AB17" s="59"/>
      <c r="AC17" s="59"/>
      <c r="AD17" s="59"/>
      <c r="AE17" s="59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</row>
    <row r="18" spans="1:59">
      <c r="A18" s="5"/>
      <c r="B18" s="5"/>
      <c r="C18" s="103">
        <f t="shared" si="3"/>
        <v>0.65</v>
      </c>
      <c r="D18" s="103"/>
      <c r="E18" s="103"/>
      <c r="F18" s="103"/>
      <c r="G18" s="59">
        <f t="shared" si="4"/>
        <v>650</v>
      </c>
      <c r="H18" s="59"/>
      <c r="I18" s="59"/>
      <c r="J18" s="59"/>
      <c r="K18" s="59">
        <f t="shared" si="0"/>
        <v>-0.98174770424681035</v>
      </c>
      <c r="L18" s="59"/>
      <c r="M18" s="59"/>
      <c r="N18" s="59"/>
      <c r="O18" s="59"/>
      <c r="P18" s="59"/>
      <c r="Q18" s="59"/>
      <c r="R18" s="59">
        <f t="shared" si="1"/>
        <v>0.19634954084936224</v>
      </c>
      <c r="S18" s="59"/>
      <c r="T18" s="59"/>
      <c r="U18" s="59"/>
      <c r="V18" s="59"/>
      <c r="W18" s="59"/>
      <c r="X18" s="59"/>
      <c r="Y18" s="59">
        <f t="shared" si="2"/>
        <v>0.96193976625564337</v>
      </c>
      <c r="Z18" s="59"/>
      <c r="AA18" s="59"/>
      <c r="AB18" s="59"/>
      <c r="AC18" s="59"/>
      <c r="AD18" s="59"/>
      <c r="AE18" s="59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</row>
    <row r="19" spans="1:59" ht="12.75" customHeight="1">
      <c r="A19" s="5"/>
      <c r="B19" s="5"/>
      <c r="C19" s="103">
        <f t="shared" si="3"/>
        <v>0.7</v>
      </c>
      <c r="D19" s="103"/>
      <c r="E19" s="103"/>
      <c r="F19" s="103"/>
      <c r="G19" s="59">
        <f t="shared" si="4"/>
        <v>700</v>
      </c>
      <c r="H19" s="59"/>
      <c r="I19" s="59"/>
      <c r="J19" s="59"/>
      <c r="K19" s="59">
        <f t="shared" si="0"/>
        <v>-1.178097245096172</v>
      </c>
      <c r="L19" s="59"/>
      <c r="M19" s="59"/>
      <c r="N19" s="59"/>
      <c r="O19" s="59"/>
      <c r="P19" s="59"/>
      <c r="Q19" s="59"/>
      <c r="R19" s="59">
        <f t="shared" si="1"/>
        <v>0.39269908169872403</v>
      </c>
      <c r="S19" s="59"/>
      <c r="T19" s="59"/>
      <c r="U19" s="59"/>
      <c r="V19" s="59"/>
      <c r="W19" s="59"/>
      <c r="X19" s="59"/>
      <c r="Y19" s="59">
        <f t="shared" si="2"/>
        <v>0.85355339059327395</v>
      </c>
      <c r="Z19" s="59"/>
      <c r="AA19" s="59"/>
      <c r="AB19" s="59"/>
      <c r="AC19" s="59"/>
      <c r="AD19" s="59"/>
      <c r="AE19" s="59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</row>
    <row r="20" spans="1:59">
      <c r="A20" s="5"/>
      <c r="B20" s="5"/>
      <c r="C20" s="103">
        <f t="shared" si="3"/>
        <v>0.75</v>
      </c>
      <c r="D20" s="103"/>
      <c r="E20" s="103"/>
      <c r="F20" s="103"/>
      <c r="G20" s="59">
        <f t="shared" si="4"/>
        <v>750</v>
      </c>
      <c r="H20" s="59"/>
      <c r="I20" s="59"/>
      <c r="J20" s="59"/>
      <c r="K20" s="59">
        <f t="shared" si="0"/>
        <v>-1.3744467859455345</v>
      </c>
      <c r="L20" s="59"/>
      <c r="M20" s="59"/>
      <c r="N20" s="59"/>
      <c r="O20" s="59"/>
      <c r="P20" s="59"/>
      <c r="Q20" s="59"/>
      <c r="R20" s="59">
        <f t="shared" si="1"/>
        <v>0.58904862254808632</v>
      </c>
      <c r="S20" s="59"/>
      <c r="T20" s="59"/>
      <c r="U20" s="59"/>
      <c r="V20" s="59"/>
      <c r="W20" s="59"/>
      <c r="X20" s="59"/>
      <c r="Y20" s="59">
        <f t="shared" si="2"/>
        <v>0.69134171618254492</v>
      </c>
      <c r="Z20" s="59"/>
      <c r="AA20" s="59"/>
      <c r="AB20" s="59"/>
      <c r="AC20" s="59"/>
      <c r="AD20" s="59"/>
      <c r="AE20" s="59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</row>
    <row r="21" spans="1:59" ht="12.75" customHeight="1">
      <c r="A21" s="5"/>
      <c r="B21" s="5"/>
      <c r="C21" s="103">
        <f t="shared" si="3"/>
        <v>0.8</v>
      </c>
      <c r="D21" s="103"/>
      <c r="E21" s="103"/>
      <c r="F21" s="103"/>
      <c r="G21" s="59">
        <f t="shared" si="4"/>
        <v>800</v>
      </c>
      <c r="H21" s="59"/>
      <c r="I21" s="59"/>
      <c r="J21" s="59"/>
      <c r="K21" s="59">
        <f t="shared" si="0"/>
        <v>-1.5707963267948966</v>
      </c>
      <c r="L21" s="59"/>
      <c r="M21" s="59"/>
      <c r="N21" s="59"/>
      <c r="O21" s="59"/>
      <c r="P21" s="59"/>
      <c r="Q21" s="59"/>
      <c r="R21" s="59">
        <f t="shared" si="1"/>
        <v>0.7853981633974485</v>
      </c>
      <c r="S21" s="59"/>
      <c r="T21" s="59"/>
      <c r="U21" s="59"/>
      <c r="V21" s="59"/>
      <c r="W21" s="59"/>
      <c r="X21" s="59"/>
      <c r="Y21" s="59">
        <f t="shared" si="2"/>
        <v>0.49999999999999978</v>
      </c>
      <c r="Z21" s="59"/>
      <c r="AA21" s="59"/>
      <c r="AB21" s="59"/>
      <c r="AC21" s="59"/>
      <c r="AD21" s="59"/>
      <c r="AE21" s="59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</row>
    <row r="22" spans="1:59">
      <c r="A22" s="5"/>
      <c r="B22" s="5"/>
      <c r="C22" s="103">
        <f t="shared" si="3"/>
        <v>0.85</v>
      </c>
      <c r="D22" s="103"/>
      <c r="E22" s="103"/>
      <c r="F22" s="103"/>
      <c r="G22" s="59">
        <f t="shared" si="4"/>
        <v>850</v>
      </c>
      <c r="H22" s="59"/>
      <c r="I22" s="59"/>
      <c r="J22" s="59"/>
      <c r="K22" s="59">
        <f t="shared" si="0"/>
        <v>-1.7671458676442586</v>
      </c>
      <c r="L22" s="59"/>
      <c r="M22" s="59"/>
      <c r="N22" s="59"/>
      <c r="O22" s="59"/>
      <c r="P22" s="59"/>
      <c r="Q22" s="59"/>
      <c r="R22" s="59">
        <f t="shared" si="1"/>
        <v>0.98174770424681035</v>
      </c>
      <c r="S22" s="59"/>
      <c r="T22" s="59"/>
      <c r="U22" s="59"/>
      <c r="V22" s="59"/>
      <c r="W22" s="59"/>
      <c r="X22" s="59"/>
      <c r="Y22" s="59">
        <f t="shared" si="2"/>
        <v>0.30865828381745519</v>
      </c>
      <c r="Z22" s="59"/>
      <c r="AA22" s="59"/>
      <c r="AB22" s="59"/>
      <c r="AC22" s="59"/>
      <c r="AD22" s="59"/>
      <c r="AE22" s="59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2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</row>
    <row r="23" spans="1:59">
      <c r="A23" s="5"/>
      <c r="B23" s="5"/>
      <c r="C23" s="103">
        <f t="shared" si="3"/>
        <v>0.9</v>
      </c>
      <c r="D23" s="103"/>
      <c r="E23" s="103"/>
      <c r="F23" s="103"/>
      <c r="G23" s="59">
        <f t="shared" si="4"/>
        <v>900</v>
      </c>
      <c r="H23" s="59"/>
      <c r="I23" s="59"/>
      <c r="J23" s="59"/>
      <c r="K23" s="59">
        <f t="shared" si="0"/>
        <v>-1.9634954084936207</v>
      </c>
      <c r="L23" s="59"/>
      <c r="M23" s="59"/>
      <c r="N23" s="59"/>
      <c r="O23" s="59"/>
      <c r="P23" s="59"/>
      <c r="Q23" s="59"/>
      <c r="R23" s="59">
        <f t="shared" si="1"/>
        <v>1.1780972450961726</v>
      </c>
      <c r="S23" s="59"/>
      <c r="T23" s="59"/>
      <c r="U23" s="59"/>
      <c r="V23" s="59"/>
      <c r="W23" s="59"/>
      <c r="X23" s="59"/>
      <c r="Y23" s="59">
        <f t="shared" si="2"/>
        <v>0.14644660940672613</v>
      </c>
      <c r="Z23" s="59"/>
      <c r="AA23" s="59"/>
      <c r="AB23" s="59"/>
      <c r="AC23" s="59"/>
      <c r="AD23" s="59"/>
      <c r="AE23" s="59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</row>
    <row r="24" spans="1:59">
      <c r="A24" s="5"/>
      <c r="B24" s="5"/>
      <c r="C24" s="103">
        <f t="shared" si="3"/>
        <v>0.95</v>
      </c>
      <c r="D24" s="103"/>
      <c r="E24" s="103"/>
      <c r="F24" s="103"/>
      <c r="G24" s="59">
        <f t="shared" si="4"/>
        <v>950</v>
      </c>
      <c r="H24" s="59"/>
      <c r="I24" s="59"/>
      <c r="J24" s="59"/>
      <c r="K24" s="59">
        <f t="shared" si="0"/>
        <v>-2.1598449493429821</v>
      </c>
      <c r="L24" s="59"/>
      <c r="M24" s="59"/>
      <c r="N24" s="59"/>
      <c r="O24" s="59"/>
      <c r="P24" s="59"/>
      <c r="Q24" s="59"/>
      <c r="R24" s="59">
        <f t="shared" si="1"/>
        <v>1.3744467859455343</v>
      </c>
      <c r="S24" s="59"/>
      <c r="T24" s="59"/>
      <c r="U24" s="59"/>
      <c r="V24" s="59"/>
      <c r="W24" s="59"/>
      <c r="X24" s="59"/>
      <c r="Y24" s="59">
        <f t="shared" si="2"/>
        <v>3.8060233744356721E-2</v>
      </c>
      <c r="Z24" s="59"/>
      <c r="AA24" s="59"/>
      <c r="AB24" s="59"/>
      <c r="AC24" s="59"/>
      <c r="AD24" s="59"/>
      <c r="AE24" s="59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</row>
    <row r="25" spans="1:59">
      <c r="A25" s="5"/>
      <c r="B25" s="5"/>
      <c r="C25" s="103">
        <f t="shared" si="3"/>
        <v>1</v>
      </c>
      <c r="D25" s="103"/>
      <c r="E25" s="103"/>
      <c r="F25" s="103"/>
      <c r="G25" s="59">
        <f>AM28</f>
        <v>1000</v>
      </c>
      <c r="H25" s="59"/>
      <c r="I25" s="59"/>
      <c r="J25" s="59"/>
      <c r="K25" s="59">
        <f t="shared" si="0"/>
        <v>-2.3561944901923448</v>
      </c>
      <c r="L25" s="59"/>
      <c r="M25" s="59"/>
      <c r="N25" s="59"/>
      <c r="O25" s="59"/>
      <c r="P25" s="59"/>
      <c r="Q25" s="59"/>
      <c r="R25" s="59">
        <f t="shared" si="1"/>
        <v>1.5707963267948966</v>
      </c>
      <c r="S25" s="59"/>
      <c r="T25" s="59"/>
      <c r="U25" s="59"/>
      <c r="V25" s="59"/>
      <c r="W25" s="59"/>
      <c r="X25" s="59"/>
      <c r="Y25" s="59">
        <f t="shared" si="2"/>
        <v>3.7524718414124473E-33</v>
      </c>
      <c r="Z25" s="59"/>
      <c r="AA25" s="59"/>
      <c r="AB25" s="59"/>
      <c r="AC25" s="59"/>
      <c r="AD25" s="59"/>
      <c r="AE25" s="59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2"/>
      <c r="AQ25" s="12"/>
      <c r="AR25" s="5"/>
      <c r="AT25" s="12"/>
      <c r="AV25" s="12"/>
      <c r="AW25" s="12"/>
      <c r="AX25" s="12"/>
      <c r="BB25" s="28"/>
      <c r="BC25" s="28"/>
    </row>
    <row r="26" spans="1:59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</row>
    <row r="27" spans="1:59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23"/>
      <c r="O27" s="29"/>
      <c r="P27" s="29"/>
      <c r="Q27" s="29"/>
      <c r="R27" s="29"/>
      <c r="S27" s="23"/>
      <c r="T27" s="23"/>
      <c r="U27" s="5"/>
      <c r="V27" s="5"/>
      <c r="W27" s="5"/>
      <c r="X27" s="5"/>
      <c r="Y27" s="5"/>
      <c r="Z27" s="29"/>
      <c r="AA27" s="78" t="s">
        <v>13</v>
      </c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54">
        <v>0</v>
      </c>
      <c r="AN27" s="54"/>
      <c r="AO27" s="54"/>
      <c r="AP27" s="54"/>
      <c r="AQ27" s="54"/>
      <c r="AR27" s="5"/>
    </row>
    <row r="28" spans="1:59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23"/>
      <c r="O28" s="29"/>
      <c r="P28" s="29"/>
      <c r="Q28" s="29"/>
      <c r="R28" s="29"/>
      <c r="S28" s="23"/>
      <c r="T28" s="23"/>
      <c r="U28" s="5"/>
      <c r="V28" s="5"/>
      <c r="W28" s="5"/>
      <c r="X28" s="5"/>
      <c r="Y28" s="5"/>
      <c r="Z28" s="29"/>
      <c r="AA28" s="78" t="s">
        <v>14</v>
      </c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54">
        <v>1000</v>
      </c>
      <c r="AN28" s="54"/>
      <c r="AO28" s="54"/>
      <c r="AP28" s="54"/>
      <c r="AQ28" s="54"/>
      <c r="AR28" s="5"/>
    </row>
    <row r="29" spans="1:59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23"/>
      <c r="O29" s="29"/>
      <c r="P29" s="29"/>
      <c r="Q29" s="29"/>
      <c r="R29" s="29"/>
      <c r="S29" s="23"/>
      <c r="T29" s="23"/>
      <c r="U29" s="5"/>
      <c r="V29" s="5"/>
      <c r="W29" s="5"/>
      <c r="X29" s="5"/>
      <c r="Y29" s="5"/>
      <c r="Z29" s="29"/>
      <c r="AA29" s="78" t="s">
        <v>9</v>
      </c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54" t="s">
        <v>30</v>
      </c>
      <c r="AN29" s="54"/>
      <c r="AO29" s="54"/>
      <c r="AP29" s="54"/>
      <c r="AQ29" s="54"/>
      <c r="AR29" s="5"/>
    </row>
    <row r="30" spans="1:59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23"/>
      <c r="O30" s="29"/>
      <c r="P30" s="29"/>
      <c r="Q30" s="29"/>
      <c r="R30" s="29"/>
      <c r="S30" s="23"/>
      <c r="T30" s="23"/>
      <c r="U30" s="5"/>
      <c r="V30" s="5"/>
      <c r="W30" s="5"/>
      <c r="X30" s="5"/>
      <c r="Y30" s="5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125" t="s">
        <v>26</v>
      </c>
      <c r="AK30" s="124"/>
      <c r="AL30" s="124"/>
      <c r="AM30" s="124">
        <v>0</v>
      </c>
      <c r="AN30" s="124"/>
      <c r="AO30" s="124"/>
      <c r="AP30" s="124"/>
      <c r="AQ30" s="124"/>
      <c r="AR30" s="5"/>
    </row>
    <row r="31" spans="1:59" ht="12.75" customHeight="1">
      <c r="A31" s="5"/>
      <c r="B31" s="8"/>
      <c r="C31" s="8"/>
      <c r="D31" s="5"/>
      <c r="E31" s="5"/>
      <c r="F31" s="5"/>
      <c r="G31" s="5"/>
      <c r="H31" s="5"/>
      <c r="I31" s="17" t="s">
        <v>19</v>
      </c>
      <c r="J31" s="80">
        <f>VALUE(AK6)</f>
        <v>0</v>
      </c>
      <c r="K31" s="80"/>
      <c r="L31" s="80"/>
      <c r="M31" s="80"/>
      <c r="N31" s="80"/>
      <c r="O31" s="80"/>
      <c r="P31" s="80"/>
      <c r="Q31" s="80"/>
      <c r="R31" s="114" t="s">
        <v>23</v>
      </c>
      <c r="S31" s="114"/>
      <c r="T31" s="114"/>
      <c r="U31" s="114"/>
      <c r="V31" s="114"/>
      <c r="W31" s="114"/>
      <c r="X31" s="26"/>
      <c r="Y31" s="26"/>
      <c r="Z31" s="26"/>
      <c r="AA31" s="26"/>
      <c r="AB31" s="5"/>
      <c r="AC31" s="5"/>
      <c r="AD31" s="5"/>
      <c r="AE31" s="5"/>
      <c r="AF31" s="5"/>
      <c r="AG31" s="5"/>
      <c r="AH31" s="5"/>
      <c r="AI31" s="5"/>
      <c r="AJ31" s="125" t="s">
        <v>27</v>
      </c>
      <c r="AK31" s="124"/>
      <c r="AL31" s="124"/>
      <c r="AM31" s="124">
        <v>400</v>
      </c>
      <c r="AN31" s="124"/>
      <c r="AO31" s="124"/>
      <c r="AP31" s="124"/>
      <c r="AQ31" s="124"/>
      <c r="AR31" s="5"/>
    </row>
    <row r="32" spans="1:59">
      <c r="A32" s="5"/>
      <c r="B32" s="8"/>
      <c r="C32" s="8"/>
      <c r="D32" s="5"/>
      <c r="E32" s="5"/>
      <c r="F32" s="5"/>
      <c r="G32" s="5"/>
      <c r="H32" s="5"/>
      <c r="I32" s="17" t="s">
        <v>19</v>
      </c>
      <c r="J32" s="80" t="s">
        <v>20</v>
      </c>
      <c r="K32" s="80"/>
      <c r="L32" s="80"/>
      <c r="M32" s="80"/>
      <c r="N32" s="80"/>
      <c r="O32" s="80"/>
      <c r="P32" s="80"/>
      <c r="Q32" s="80"/>
      <c r="R32" s="114"/>
      <c r="S32" s="114"/>
      <c r="T32" s="114"/>
      <c r="U32" s="114"/>
      <c r="V32" s="114"/>
      <c r="W32" s="114"/>
      <c r="X32" s="26"/>
      <c r="Y32" s="26"/>
      <c r="Z32" s="26"/>
      <c r="AA32" s="26"/>
      <c r="AB32" s="5"/>
      <c r="AC32" s="5"/>
      <c r="AD32" s="5"/>
      <c r="AE32" s="5"/>
      <c r="AF32" s="5"/>
      <c r="AG32" s="5"/>
      <c r="AH32" s="5"/>
      <c r="AI32" s="5"/>
      <c r="AJ32" s="115" t="s">
        <v>28</v>
      </c>
      <c r="AK32" s="116"/>
      <c r="AL32" s="117"/>
      <c r="AM32" s="118">
        <v>600</v>
      </c>
      <c r="AN32" s="119"/>
      <c r="AO32" s="119"/>
      <c r="AP32" s="119"/>
      <c r="AQ32" s="120"/>
      <c r="AR32" s="5"/>
    </row>
    <row r="33" spans="1:46">
      <c r="A33" s="5"/>
      <c r="B33" s="8"/>
      <c r="C33" s="19"/>
      <c r="D33" s="5"/>
      <c r="E33" s="5"/>
      <c r="F33" s="5"/>
      <c r="G33" s="5"/>
      <c r="H33" s="5"/>
      <c r="I33" s="18" t="s">
        <v>19</v>
      </c>
      <c r="J33" s="82">
        <f>MIN(N5:N25)</f>
        <v>0</v>
      </c>
      <c r="K33" s="82"/>
      <c r="L33" s="82"/>
      <c r="M33" s="82"/>
      <c r="N33" s="82"/>
      <c r="O33" s="82"/>
      <c r="P33" s="82"/>
      <c r="Q33" s="82"/>
      <c r="R33" s="114"/>
      <c r="S33" s="114"/>
      <c r="T33" s="114"/>
      <c r="U33" s="114"/>
      <c r="V33" s="114"/>
      <c r="W33" s="114"/>
      <c r="X33" s="26"/>
      <c r="Y33" s="26"/>
      <c r="Z33" s="26"/>
      <c r="AA33" s="26"/>
      <c r="AB33" s="5"/>
      <c r="AC33" s="5"/>
      <c r="AD33" s="5"/>
      <c r="AE33" s="5"/>
      <c r="AF33" s="5"/>
      <c r="AG33" s="5"/>
      <c r="AH33" s="5"/>
      <c r="AI33" s="5"/>
      <c r="AJ33" s="115" t="s">
        <v>29</v>
      </c>
      <c r="AK33" s="116"/>
      <c r="AL33" s="117"/>
      <c r="AM33" s="118">
        <v>1000</v>
      </c>
      <c r="AN33" s="119"/>
      <c r="AO33" s="119"/>
      <c r="AP33" s="119"/>
      <c r="AQ33" s="120"/>
      <c r="AR33" s="5"/>
    </row>
    <row r="34" spans="1:46">
      <c r="A34" s="5"/>
      <c r="B34" s="8"/>
      <c r="C34" s="19"/>
      <c r="D34" s="5"/>
      <c r="E34" s="5"/>
      <c r="F34" s="5"/>
      <c r="G34" s="5"/>
      <c r="H34" s="5"/>
      <c r="I34" s="18" t="s">
        <v>19</v>
      </c>
      <c r="J34" s="81">
        <f>MAX(N5:N25)</f>
        <v>0</v>
      </c>
      <c r="K34" s="81"/>
      <c r="L34" s="81"/>
      <c r="M34" s="81"/>
      <c r="N34" s="81"/>
      <c r="O34" s="81"/>
      <c r="P34" s="81"/>
      <c r="Q34" s="81"/>
      <c r="R34" s="114"/>
      <c r="S34" s="114"/>
      <c r="T34" s="114"/>
      <c r="U34" s="114"/>
      <c r="V34" s="114"/>
      <c r="W34" s="114"/>
      <c r="X34" s="26"/>
      <c r="Y34" s="26"/>
      <c r="Z34" s="26"/>
      <c r="AA34" s="26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</row>
    <row r="35" spans="1:46" ht="6" customHeight="1">
      <c r="A35" s="5"/>
      <c r="B35" s="8"/>
      <c r="C35" s="19"/>
      <c r="D35" s="18"/>
      <c r="E35" s="50"/>
      <c r="F35" s="5"/>
      <c r="G35" s="50"/>
      <c r="H35" s="5"/>
      <c r="I35" s="19"/>
      <c r="J35" s="19"/>
      <c r="K35" s="19"/>
      <c r="L35" s="8"/>
      <c r="M35" s="8"/>
      <c r="N35" s="8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</row>
    <row r="36" spans="1:46">
      <c r="A36" s="5"/>
      <c r="B36" s="8"/>
      <c r="C36" s="84" t="s">
        <v>22</v>
      </c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5"/>
      <c r="AR36" s="12"/>
      <c r="AS36" s="12"/>
      <c r="AT36" s="12"/>
    </row>
    <row r="37" spans="1:46">
      <c r="A37" s="5"/>
      <c r="B37" s="84" t="str">
        <f>"funcion_de_valor= (exp  ((-"&amp;VALUE(AK6)&amp;"*mapa_atributo)-("&amp;MIN(N5:N25)&amp;")))/(("&amp;MAX(N5:N25)&amp;")-("&amp;MIN(N5:N25)&amp;"))"</f>
        <v>funcion_de_valor= (exp  ((-0*mapa_atributo)-(0)))/((0)-(0))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12"/>
      <c r="AS37" s="12"/>
      <c r="AT37" s="12"/>
    </row>
    <row r="38" spans="1:46" ht="6" customHeight="1" thickBot="1">
      <c r="A38" s="5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26"/>
      <c r="AS38" s="26"/>
      <c r="AT38" s="26"/>
    </row>
    <row r="39" spans="1:46" ht="13.5" customHeight="1" thickBot="1">
      <c r="A39" s="5"/>
      <c r="B39" s="65" t="s">
        <v>4</v>
      </c>
      <c r="C39" s="66"/>
      <c r="D39" s="66"/>
      <c r="E39" s="66"/>
      <c r="F39" s="66"/>
      <c r="G39" s="66"/>
      <c r="H39" s="66"/>
      <c r="I39" s="66"/>
      <c r="J39" s="66"/>
      <c r="K39" s="66"/>
      <c r="L39" s="67"/>
      <c r="M39" s="65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7"/>
      <c r="AR39" s="27"/>
      <c r="AS39" s="27"/>
      <c r="AT39" s="27"/>
    </row>
    <row r="40" spans="1:46" ht="13.5" customHeight="1" thickBot="1">
      <c r="A40" s="5"/>
      <c r="B40" s="65" t="s">
        <v>10</v>
      </c>
      <c r="C40" s="66"/>
      <c r="D40" s="66"/>
      <c r="E40" s="66"/>
      <c r="F40" s="66"/>
      <c r="G40" s="66"/>
      <c r="H40" s="66"/>
      <c r="I40" s="66"/>
      <c r="J40" s="66"/>
      <c r="K40" s="66"/>
      <c r="L40" s="67"/>
      <c r="M40" s="65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7"/>
      <c r="AR40" s="5"/>
    </row>
    <row r="41" spans="1:46" ht="27" customHeight="1" thickBot="1">
      <c r="A41" s="5"/>
      <c r="B41" s="65" t="s">
        <v>12</v>
      </c>
      <c r="C41" s="66"/>
      <c r="D41" s="66"/>
      <c r="E41" s="66"/>
      <c r="F41" s="66"/>
      <c r="G41" s="66"/>
      <c r="H41" s="66"/>
      <c r="I41" s="66"/>
      <c r="J41" s="66"/>
      <c r="K41" s="66"/>
      <c r="L41" s="67"/>
      <c r="M41" s="65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7"/>
      <c r="AR41" s="5"/>
    </row>
    <row r="42" spans="1:46" ht="13.5" customHeight="1" thickBot="1">
      <c r="A42" s="5"/>
      <c r="B42" s="65" t="s">
        <v>5</v>
      </c>
      <c r="C42" s="66"/>
      <c r="D42" s="66"/>
      <c r="E42" s="66"/>
      <c r="F42" s="66"/>
      <c r="G42" s="66"/>
      <c r="H42" s="66"/>
      <c r="I42" s="66"/>
      <c r="J42" s="66"/>
      <c r="K42" s="66"/>
      <c r="L42" s="67"/>
      <c r="M42" s="65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7"/>
      <c r="AR42" s="5"/>
    </row>
    <row r="43" spans="1:46" ht="13.5" customHeight="1" thickBot="1">
      <c r="A43" s="5"/>
      <c r="B43" s="65" t="s">
        <v>6</v>
      </c>
      <c r="C43" s="66"/>
      <c r="D43" s="66"/>
      <c r="E43" s="66"/>
      <c r="F43" s="66"/>
      <c r="G43" s="66"/>
      <c r="H43" s="66"/>
      <c r="I43" s="66"/>
      <c r="J43" s="66"/>
      <c r="K43" s="66"/>
      <c r="L43" s="67"/>
      <c r="M43" s="65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7"/>
      <c r="AR43" s="5"/>
    </row>
    <row r="44" spans="1:46" ht="12.75" customHeight="1" thickBot="1">
      <c r="A44" s="5"/>
      <c r="B44" s="65" t="s">
        <v>7</v>
      </c>
      <c r="C44" s="66"/>
      <c r="D44" s="66"/>
      <c r="E44" s="66"/>
      <c r="F44" s="66"/>
      <c r="G44" s="66"/>
      <c r="H44" s="66"/>
      <c r="I44" s="66"/>
      <c r="J44" s="66"/>
      <c r="K44" s="66"/>
      <c r="L44" s="67"/>
      <c r="M44" s="68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70"/>
      <c r="AR44" s="5"/>
    </row>
    <row r="45" spans="1:46" ht="13.5" thickBot="1">
      <c r="A45" s="5"/>
      <c r="B45" s="65"/>
      <c r="C45" s="66"/>
      <c r="D45" s="66"/>
      <c r="E45" s="66"/>
      <c r="F45" s="66"/>
      <c r="G45" s="66"/>
      <c r="H45" s="66"/>
      <c r="I45" s="66"/>
      <c r="J45" s="66"/>
      <c r="K45" s="66"/>
      <c r="L45" s="67"/>
      <c r="M45" s="71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3"/>
      <c r="AR45" s="5"/>
    </row>
    <row r="46" spans="1:46" ht="13.5" thickBot="1">
      <c r="A46" s="5"/>
      <c r="B46" s="65"/>
      <c r="C46" s="66"/>
      <c r="D46" s="66"/>
      <c r="E46" s="66"/>
      <c r="F46" s="66"/>
      <c r="G46" s="66"/>
      <c r="H46" s="66"/>
      <c r="I46" s="66"/>
      <c r="J46" s="66"/>
      <c r="K46" s="66"/>
      <c r="L46" s="67"/>
      <c r="M46" s="71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3"/>
      <c r="AR46" s="5"/>
    </row>
    <row r="47" spans="1:46" ht="13.5" thickBot="1">
      <c r="A47" s="5"/>
      <c r="B47" s="65"/>
      <c r="C47" s="66"/>
      <c r="D47" s="66"/>
      <c r="E47" s="66"/>
      <c r="F47" s="66"/>
      <c r="G47" s="66"/>
      <c r="H47" s="66"/>
      <c r="I47" s="66"/>
      <c r="J47" s="66"/>
      <c r="K47" s="66"/>
      <c r="L47" s="67"/>
      <c r="M47" s="71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3"/>
      <c r="AR47" s="5"/>
    </row>
    <row r="48" spans="1:46" ht="13.5" thickBot="1">
      <c r="A48" s="5"/>
      <c r="B48" s="65"/>
      <c r="C48" s="66"/>
      <c r="D48" s="66"/>
      <c r="E48" s="66"/>
      <c r="F48" s="66"/>
      <c r="G48" s="66"/>
      <c r="H48" s="66"/>
      <c r="I48" s="66"/>
      <c r="J48" s="66"/>
      <c r="K48" s="66"/>
      <c r="L48" s="67"/>
      <c r="M48" s="71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3"/>
      <c r="AR48" s="5"/>
    </row>
    <row r="49" spans="1:44" ht="13.5" thickBot="1">
      <c r="A49" s="5"/>
      <c r="B49" s="65"/>
      <c r="C49" s="66"/>
      <c r="D49" s="66"/>
      <c r="E49" s="66"/>
      <c r="F49" s="66"/>
      <c r="G49" s="66"/>
      <c r="H49" s="66"/>
      <c r="I49" s="66"/>
      <c r="J49" s="66"/>
      <c r="K49" s="66"/>
      <c r="L49" s="67"/>
      <c r="M49" s="71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3"/>
      <c r="AR49" s="5"/>
    </row>
    <row r="50" spans="1:44" ht="13.5" thickBot="1">
      <c r="A50" s="5"/>
      <c r="B50" s="65"/>
      <c r="C50" s="66"/>
      <c r="D50" s="66"/>
      <c r="E50" s="66"/>
      <c r="F50" s="66"/>
      <c r="G50" s="66"/>
      <c r="H50" s="66"/>
      <c r="I50" s="66"/>
      <c r="J50" s="66"/>
      <c r="K50" s="66"/>
      <c r="L50" s="67"/>
      <c r="M50" s="71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3"/>
      <c r="AR50" s="5"/>
    </row>
    <row r="51" spans="1:44" ht="13.5" thickBot="1">
      <c r="A51" s="5"/>
      <c r="B51" s="65"/>
      <c r="C51" s="66"/>
      <c r="D51" s="66"/>
      <c r="E51" s="66"/>
      <c r="F51" s="66"/>
      <c r="G51" s="66"/>
      <c r="H51" s="66"/>
      <c r="I51" s="66"/>
      <c r="J51" s="66"/>
      <c r="K51" s="66"/>
      <c r="L51" s="67"/>
      <c r="M51" s="71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3"/>
      <c r="AR51" s="5"/>
    </row>
    <row r="52" spans="1:44" ht="13.5" thickBot="1">
      <c r="A52" s="5"/>
      <c r="B52" s="65"/>
      <c r="C52" s="66"/>
      <c r="D52" s="66"/>
      <c r="E52" s="66"/>
      <c r="F52" s="66"/>
      <c r="G52" s="66"/>
      <c r="H52" s="66"/>
      <c r="I52" s="66"/>
      <c r="J52" s="66"/>
      <c r="K52" s="66"/>
      <c r="L52" s="67"/>
      <c r="M52" s="74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6"/>
      <c r="AR52" s="5"/>
    </row>
    <row r="53" spans="1:44" ht="27" customHeight="1" thickBot="1">
      <c r="A53" s="5"/>
      <c r="B53" s="65" t="s">
        <v>11</v>
      </c>
      <c r="C53" s="66"/>
      <c r="D53" s="66"/>
      <c r="E53" s="66"/>
      <c r="F53" s="66"/>
      <c r="G53" s="66"/>
      <c r="H53" s="66"/>
      <c r="I53" s="66"/>
      <c r="J53" s="66"/>
      <c r="K53" s="66"/>
      <c r="L53" s="67"/>
      <c r="M53" s="65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7"/>
      <c r="AR53" s="5"/>
    </row>
    <row r="54" spans="1:44" ht="13.5" customHeight="1" thickBot="1">
      <c r="A54" s="5"/>
      <c r="B54" s="65" t="s">
        <v>8</v>
      </c>
      <c r="C54" s="66"/>
      <c r="D54" s="66"/>
      <c r="E54" s="66"/>
      <c r="F54" s="66"/>
      <c r="G54" s="66"/>
      <c r="H54" s="66"/>
      <c r="I54" s="66"/>
      <c r="J54" s="66"/>
      <c r="K54" s="66"/>
      <c r="L54" s="67"/>
      <c r="M54" s="65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7"/>
      <c r="AR54" s="5"/>
    </row>
    <row r="55" spans="1:4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</row>
  </sheetData>
  <mergeCells count="161">
    <mergeCell ref="AM31:AQ31"/>
    <mergeCell ref="AJ30:AL30"/>
    <mergeCell ref="AJ31:AL31"/>
    <mergeCell ref="AG15:AI15"/>
    <mergeCell ref="AG12:AI12"/>
    <mergeCell ref="AJ13:AN13"/>
    <mergeCell ref="AJ14:AN14"/>
    <mergeCell ref="AJ15:AN15"/>
    <mergeCell ref="AM30:AQ30"/>
    <mergeCell ref="AH6:AL6"/>
    <mergeCell ref="AM6:AO6"/>
    <mergeCell ref="AH7:AO9"/>
    <mergeCell ref="Y16:AE16"/>
    <mergeCell ref="Y17:AE17"/>
    <mergeCell ref="Y18:AE18"/>
    <mergeCell ref="Y19:AE19"/>
    <mergeCell ref="Y20:AE20"/>
    <mergeCell ref="Y21:AE21"/>
    <mergeCell ref="Y10:AE10"/>
    <mergeCell ref="Y11:AE11"/>
    <mergeCell ref="Y12:AE12"/>
    <mergeCell ref="Y13:AE13"/>
    <mergeCell ref="Y14:AE14"/>
    <mergeCell ref="Y15:AE15"/>
    <mergeCell ref="AJ12:AN12"/>
    <mergeCell ref="R24:X24"/>
    <mergeCell ref="R25:X25"/>
    <mergeCell ref="Y5:AE5"/>
    <mergeCell ref="Y6:AE6"/>
    <mergeCell ref="Y7:AE7"/>
    <mergeCell ref="Y8:AE8"/>
    <mergeCell ref="Y9:AE9"/>
    <mergeCell ref="R15:X15"/>
    <mergeCell ref="R16:X16"/>
    <mergeCell ref="R17:X17"/>
    <mergeCell ref="R18:X18"/>
    <mergeCell ref="R19:X19"/>
    <mergeCell ref="R20:X20"/>
    <mergeCell ref="Y22:AE22"/>
    <mergeCell ref="Y23:AE23"/>
    <mergeCell ref="Y24:AE24"/>
    <mergeCell ref="Y25:AE25"/>
    <mergeCell ref="G12:J12"/>
    <mergeCell ref="G13:J13"/>
    <mergeCell ref="G14:J14"/>
    <mergeCell ref="G15:J15"/>
    <mergeCell ref="G16:J16"/>
    <mergeCell ref="K24:Q24"/>
    <mergeCell ref="K25:Q25"/>
    <mergeCell ref="R5:X5"/>
    <mergeCell ref="R6:X6"/>
    <mergeCell ref="R7:X7"/>
    <mergeCell ref="R8:X8"/>
    <mergeCell ref="R9:X9"/>
    <mergeCell ref="R10:X10"/>
    <mergeCell ref="R11:X11"/>
    <mergeCell ref="R12:X12"/>
    <mergeCell ref="K18:Q18"/>
    <mergeCell ref="K19:Q19"/>
    <mergeCell ref="K20:Q20"/>
    <mergeCell ref="K21:Q21"/>
    <mergeCell ref="K22:Q22"/>
    <mergeCell ref="K23:Q23"/>
    <mergeCell ref="K12:Q12"/>
    <mergeCell ref="K13:Q13"/>
    <mergeCell ref="K14:Q14"/>
    <mergeCell ref="K5:Q5"/>
    <mergeCell ref="K6:Q6"/>
    <mergeCell ref="K7:Q7"/>
    <mergeCell ref="K8:Q8"/>
    <mergeCell ref="K9:Q9"/>
    <mergeCell ref="K10:Q10"/>
    <mergeCell ref="K11:Q11"/>
    <mergeCell ref="G8:J8"/>
    <mergeCell ref="G9:J9"/>
    <mergeCell ref="G10:J10"/>
    <mergeCell ref="G11:J11"/>
    <mergeCell ref="B53:L53"/>
    <mergeCell ref="M53:AQ53"/>
    <mergeCell ref="B54:L54"/>
    <mergeCell ref="M54:AQ54"/>
    <mergeCell ref="B44:L52"/>
    <mergeCell ref="M44:AQ44"/>
    <mergeCell ref="M45:AQ45"/>
    <mergeCell ref="M46:AQ46"/>
    <mergeCell ref="M47:AQ47"/>
    <mergeCell ref="M48:AQ48"/>
    <mergeCell ref="M49:AQ49"/>
    <mergeCell ref="M50:AQ50"/>
    <mergeCell ref="M51:AQ51"/>
    <mergeCell ref="M52:AQ52"/>
    <mergeCell ref="B41:L41"/>
    <mergeCell ref="M41:AQ41"/>
    <mergeCell ref="B42:L42"/>
    <mergeCell ref="M42:AQ42"/>
    <mergeCell ref="B43:L43"/>
    <mergeCell ref="M43:AQ43"/>
    <mergeCell ref="C36:AP36"/>
    <mergeCell ref="B37:AQ37"/>
    <mergeCell ref="B39:L39"/>
    <mergeCell ref="M39:AQ39"/>
    <mergeCell ref="B40:L40"/>
    <mergeCell ref="M40:AQ40"/>
    <mergeCell ref="J31:Q31"/>
    <mergeCell ref="J32:Q32"/>
    <mergeCell ref="J33:Q33"/>
    <mergeCell ref="J34:Q34"/>
    <mergeCell ref="R31:W34"/>
    <mergeCell ref="AG13:AI13"/>
    <mergeCell ref="AG14:AI14"/>
    <mergeCell ref="AA27:AL27"/>
    <mergeCell ref="AM27:AQ27"/>
    <mergeCell ref="AA28:AL28"/>
    <mergeCell ref="AM28:AQ28"/>
    <mergeCell ref="AA29:AL29"/>
    <mergeCell ref="AM29:AQ29"/>
    <mergeCell ref="R13:X13"/>
    <mergeCell ref="R14:X14"/>
    <mergeCell ref="G23:J23"/>
    <mergeCell ref="G24:J24"/>
    <mergeCell ref="G25:J25"/>
    <mergeCell ref="K15:Q15"/>
    <mergeCell ref="K16:Q16"/>
    <mergeCell ref="K17:Q17"/>
    <mergeCell ref="R21:X21"/>
    <mergeCell ref="R22:X22"/>
    <mergeCell ref="R23:X23"/>
    <mergeCell ref="C15:F15"/>
    <mergeCell ref="C24:F24"/>
    <mergeCell ref="C25:F25"/>
    <mergeCell ref="C22:F22"/>
    <mergeCell ref="C23:F23"/>
    <mergeCell ref="G22:J22"/>
    <mergeCell ref="C20:F20"/>
    <mergeCell ref="C21:F21"/>
    <mergeCell ref="G20:J20"/>
    <mergeCell ref="G21:J21"/>
    <mergeCell ref="C5:F5"/>
    <mergeCell ref="C6:F6"/>
    <mergeCell ref="G5:J5"/>
    <mergeCell ref="AJ32:AL32"/>
    <mergeCell ref="AJ33:AL33"/>
    <mergeCell ref="AM32:AQ32"/>
    <mergeCell ref="AM33:AQ33"/>
    <mergeCell ref="C11:F11"/>
    <mergeCell ref="C12:F12"/>
    <mergeCell ref="C13:F13"/>
    <mergeCell ref="C9:F9"/>
    <mergeCell ref="C10:F10"/>
    <mergeCell ref="C7:F7"/>
    <mergeCell ref="C8:F8"/>
    <mergeCell ref="G6:J6"/>
    <mergeCell ref="G7:J7"/>
    <mergeCell ref="C18:F18"/>
    <mergeCell ref="C19:F19"/>
    <mergeCell ref="G18:J18"/>
    <mergeCell ref="G19:J19"/>
    <mergeCell ref="C16:F16"/>
    <mergeCell ref="C17:F17"/>
    <mergeCell ref="G17:J17"/>
    <mergeCell ref="C14:F14"/>
  </mergeCells>
  <pageMargins left="0.75" right="0.75" top="1" bottom="1" header="0.5" footer="0.5"/>
  <headerFooter alignWithMargins="0"/>
  <drawing r:id="rId1"/>
  <legacyDrawing r:id="rId2"/>
  <oleObjects>
    <oleObject progId="Equation.3" shapeId="8194" r:id="rId3"/>
    <oleObject progId="Equation.3" shapeId="8195" r:id="rId4"/>
  </oleObjec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Indice</vt:lpstr>
      <vt:lpstr>Creciente CV</vt:lpstr>
      <vt:lpstr>Creciente CX</vt:lpstr>
      <vt:lpstr>Campana</vt:lpstr>
      <vt:lpstr>Campana Inv</vt:lpstr>
      <vt:lpstr>Decreciente CX</vt:lpstr>
      <vt:lpstr>Decreciente CV</vt:lpstr>
      <vt:lpstr>Coseno</vt:lpstr>
      <vt:lpstr>Coseno!Print_Area</vt:lpstr>
      <vt:lpstr>'Creciente CV'!Print_Area</vt:lpstr>
      <vt:lpstr>'Decreciente CV'!Print_Area</vt:lpstr>
    </vt:vector>
  </TitlesOfParts>
  <Company>Institute for Computational Earth System Science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Monterde Díaz</dc:creator>
  <cp:lastModifiedBy>Familia Contreras</cp:lastModifiedBy>
  <cp:lastPrinted>2011-12-02T17:09:24Z</cp:lastPrinted>
  <dcterms:created xsi:type="dcterms:W3CDTF">2008-09-01T15:42:15Z</dcterms:created>
  <dcterms:modified xsi:type="dcterms:W3CDTF">2012-05-20T01:15:50Z</dcterms:modified>
</cp:coreProperties>
</file>